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Feature Checklist" sheetId="3" state="visible" r:id="rId5"/>
    <sheet name="Open Items - Need Shinfeng" sheetId="4" state="visible" r:id="rId6"/>
  </sheets>
  <definedNames>
    <definedName function="false" hidden="true" localSheetId="2" name="_xlnm._FilterDatabase" vbProcedure="false">'Feature Checklist'!$A$1:$I$218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<sst xmlns="http://schemas.openxmlformats.org/spreadsheetml/2006/main" count="1793" uniqueCount="914">
  <si>
    <t xml:space="preserve">Sentosa CMS — FRD v0.5 vs. Current Build: Handover Checklist</t>
  </si>
  <si>
    <t xml:space="preserve">Prepared for BA handover — comparing 'SDC IIS CMS FRD v0.5_SDC.pdf' against the current sts-bnk (Sentosa) source code.</t>
  </si>
  <si>
    <t xml:space="preserve">Purpose</t>
  </si>
  <si>
    <t xml:space="preserve">This workbook lists every feature/requirement in FRD v0.5 (85 pages, sections 1-16), grouped by CMS module, with a build-status verdict checked directly against the current source code (not against older internal planning docs, which may be out of date).</t>
  </si>
  <si>
    <t xml:space="preserve">How to use it</t>
  </si>
  <si>
    <t xml:space="preserve">- 'Feature Checklist' tab: one row per requirement. Use the Status dropdown (column F) to re-classify as you verify; conditional colour updates automatically. Tick column G once you've personally re-confirmed a row.</t>
  </si>
  <si>
    <t xml:space="preserve">- 'Open Items - Need Shinfeng' tab: everything that cannot be marked Built/Not-Built until the BA (Wong Shin Feng) confirms intent — includes the FRD's own Section 15 'Open Items', blank tables in the FRD itself (3.3.4, Section 14), and material code/FRD contradictions found during this review.</t>
  </si>
  <si>
    <t xml:space="preserve">- 'Summary' tab: auto-counted totals per module and overall, driven by formulas off the Feature Checklist tab.</t>
  </si>
  <si>
    <t xml:space="preserve">Status legend</t>
  </si>
  <si>
    <t xml:space="preserve">  Built — implemented and verified in current code.</t>
  </si>
  <si>
    <t xml:space="preserve">  Partially Built — some part implemented; gap described in the Notes column.</t>
  </si>
  <si>
    <t xml:space="preserve">  Not Built — no implementation found after a repo-wide search.</t>
  </si>
  <si>
    <t xml:space="preserve">  Unclear / Needs BA Confirmation — cannot be verified because the FRD itself is silent/blank/ambiguous on this point.</t>
  </si>
  <si>
    <t xml:space="preserve">Important caveats</t>
  </si>
  <si>
    <t xml:space="preserve">- The codebase evolves quickly. Several older planning docs in the repo root (FSD_V0.5_ENHANCEMENT_PLAN.md dated 2026-07-06, INCIDENT_CATEGORY_IMPLEMENTATION_PLAN.md, etc.) are already partially superseded — this checklist verifies against the LIVE code as of 2026-07-16, not those docs.</t>
  </si>
  <si>
    <t xml:space="preserve">- The live runtime datastore is MongoDB via src/lib/db.ts. prisma/schema.prisma is largely a documentation mirror and not always what's actually queried at runtime — evidence cites the live code wherever the two diverge.</t>
  </si>
  <si>
    <t xml:space="preserve">- Several admin configuration areas (Users, Roles, Distribution Groups, Broadcast Config, Taxonomy) persist to browser localStorage rather than a shared server database — flagged individually in the checklist, and summarised as a cross-cutting open item.</t>
  </si>
  <si>
    <t xml:space="preserve">Source: SDC IIS CMS FRD v0.5_SDC.pdf (Prepared by Wong Shin Feng, Business Analyst, SJ)</t>
  </si>
  <si>
    <t xml:space="preserve">Prepared: 2026-07-16</t>
  </si>
  <si>
    <t xml:space="preserve">Sentosa CMS — Build Status Summary by Module</t>
  </si>
  <si>
    <t xml:space="preserve">Module</t>
  </si>
  <si>
    <t xml:space="preserve">Built</t>
  </si>
  <si>
    <t xml:space="preserve">Partially Built</t>
  </si>
  <si>
    <t xml:space="preserve">Not Built</t>
  </si>
  <si>
    <t xml:space="preserve">N/A (by design)</t>
  </si>
  <si>
    <t xml:space="preserve">Unclear / Needs BA</t>
  </si>
  <si>
    <t xml:space="preserve">Total</t>
  </si>
  <si>
    <t xml:space="preserve">1. CMS Overview &amp; Dashboard</t>
  </si>
  <si>
    <t xml:space="preserve">2. UCS Integration</t>
  </si>
  <si>
    <t xml:space="preserve">3. User Roles &amp; Permissions</t>
  </si>
  <si>
    <t xml:space="preserve">4. Case Data Model</t>
  </si>
  <si>
    <t xml:space="preserve">5. Incident Management</t>
  </si>
  <si>
    <t xml:space="preserve">6. Fault Reporting</t>
  </si>
  <si>
    <t xml:space="preserve">7. Task Management</t>
  </si>
  <si>
    <t xml:space="preserve">8. Events Master List</t>
  </si>
  <si>
    <t xml:space="preserve">9. e-Diary</t>
  </si>
  <si>
    <t xml:space="preserve">10. Broadcast &amp; Notification</t>
  </si>
  <si>
    <t xml:space="preserve">11. Crisis Management &amp; Emergency Recall</t>
  </si>
  <si>
    <t xml:space="preserve">12. Reporting &amp; Data Export</t>
  </si>
  <si>
    <t xml:space="preserve">13. System Configuration &amp; Administration</t>
  </si>
  <si>
    <t xml:space="preserve">14. Non-Functional Requirements</t>
  </si>
  <si>
    <t xml:space="preserve">TOTAL — All Modules</t>
  </si>
  <si>
    <t xml:space="preserve">Open items requiring Shinfeng (BA) confirmation:</t>
  </si>
  <si>
    <t xml:space="preserve">See 'Open Items - Need Shinfeng' tab for full detail.</t>
  </si>
  <si>
    <t xml:space="preserve">#</t>
  </si>
  <si>
    <t xml:space="preserve">Sub-Area / FRD Ref</t>
  </si>
  <si>
    <t xml:space="preserve">Feature / Requirement</t>
  </si>
  <si>
    <t xml:space="preserve">FRD Section</t>
  </si>
  <si>
    <t xml:space="preserve">Status</t>
  </si>
  <si>
    <t xml:space="preserve">Confirmed?</t>
  </si>
  <si>
    <t xml:space="preserve">Evidence (Current Code)</t>
  </si>
  <si>
    <t xml:space="preserve">Notes / Gap Description</t>
  </si>
  <si>
    <t xml:space="preserve">2.1-2.2 Modules</t>
  </si>
  <si>
    <t xml:space="preserve">CMS covers Incident/Fault/Task/NOP/Events/e-Diary/Distribution Group/Broadcast/Dashboard/Sys Config</t>
  </si>
  <si>
    <t xml:space="preserve">2.1-2.2</t>
  </si>
  <si>
    <t xml:space="preserve">No</t>
  </si>
  <si>
    <t xml:space="preserve">Matching route folders exist for all modules</t>
  </si>
  <si>
    <t xml:space="preserve">Central Rostering is explicitly 'proposed' in FRD (15.4) — correctly not built</t>
  </si>
  <si>
    <t xml:space="preserve">2.2 Modules</t>
  </si>
  <si>
    <t xml:space="preserve">Crisis Recall as standalone module</t>
  </si>
  <si>
    <t xml:space="preserve">2.2</t>
  </si>
  <si>
    <t xml:space="preserve">grep 'Crisis Recall' -&gt; only a label in admin/roles matrix, no page/API/data model</t>
  </si>
  <si>
    <t xml:space="preserve">2.3.1 Auth</t>
  </si>
  <si>
    <t xml:space="preserve">WOG SSO authentication for SDC users</t>
  </si>
  <si>
    <t xml:space="preserve">2.3.1</t>
  </si>
  <si>
    <t xml:space="preserve">RoleContext.tsx is a client-side role switcher via localStorage, no SSO/login flow</t>
  </si>
  <si>
    <t xml:space="preserve">No real auth exists at all</t>
  </si>
  <si>
    <t xml:space="preserve">Non-SSO username/password + 2FA</t>
  </si>
  <si>
    <t xml:space="preserve">No login form or password field anywhere in src/app</t>
  </si>
  <si>
    <t xml:space="preserve">Deny access / redirect if no active CMS account or role</t>
  </si>
  <si>
    <t xml:space="preserve">No such gate; app loads straight into Dashboard</t>
  </si>
  <si>
    <t xml:space="preserve">2.4.1 Navigation</t>
  </si>
  <si>
    <t xml:space="preserve">Nav items: Dashboard, Case Mgmt, Incident, Fault, Task, Events, NOP, Broadcast, Statistics, Sys Config</t>
  </si>
  <si>
    <t xml:space="preserve">2.4.1</t>
  </si>
  <si>
    <t xml:space="preserve">Sidebar.tsx NAV_GROUPS/ADMIN_ITEMS map 1:1 to real routes</t>
  </si>
  <si>
    <t xml:space="preserve">Incident/Fault/Task are sub-tabs inside /case-management rather than top-level nav - functionally equivalent</t>
  </si>
  <si>
    <t xml:space="preserve">Nav items filtered by assigned role</t>
  </si>
  <si>
    <t xml:space="preserve">Sidebar.tsx only gates the Administration section (role==='System Administrator'); Ops/Planning/Comms/Analytics items render for every role</t>
  </si>
  <si>
    <t xml:space="preserve">Responder/Stakeholder should have narrower nav per FRD 3.1 role table</t>
  </si>
  <si>
    <t xml:space="preserve">2.4.2 Summary Metrics</t>
  </si>
  <si>
    <t xml:space="preserve">9 dashboard counters: Active Cases, Incidents Reported, Unclosed Incidents, Faults Reported, Unclosed Faults, Active Tasks, Overdue Tasks, Events Today, Active NOPs</t>
  </si>
  <si>
    <t xml:space="preserve">2.4.2</t>
  </si>
  <si>
    <t xml:space="preserve">src/app/page.tsx lines ~98-104, 60-64</t>
  </si>
  <si>
    <t xml:space="preserve">All 9 counters exist and compute correctly</t>
  </si>
  <si>
    <t xml:space="preserve">Each metric filterable by date/time range</t>
  </si>
  <si>
    <t xml:space="preserve">page.tsx lines 160-164 UI text itself says 'Affects: Incidents Reported, Faults Reported' only</t>
  </si>
  <si>
    <t xml:space="preserve">Only 2 of 9 metrics respond to the date filter; FRD says 'each'</t>
  </si>
  <si>
    <t xml:space="preserve">2.4.3-2.4.4 Map</t>
  </si>
  <si>
    <t xml:space="preserve">Events Today metric + events surfaced on dashboard</t>
  </si>
  <si>
    <t xml:space="preserve">2.4.3</t>
  </si>
  <si>
    <t xml:space="preserve">page.tsx lines 263-273</t>
  </si>
  <si>
    <t xml:space="preserve">2.4.4 Map</t>
  </si>
  <si>
    <t xml:space="preserve">Events shown as boundary/area overlays on 2D map</t>
  </si>
  <si>
    <t xml:space="preserve">2.4.4</t>
  </si>
  <si>
    <t xml:space="preserve">MapComponent.tsx updateEventMarkers plots point pins only; BoundaryMapDrawer polygon data (EventRecord.boundaryCoordinates) is captured but never rendered on the dashboard map</t>
  </si>
  <si>
    <t xml:space="preserve">2D map of Sentosa using OneMap API</t>
  </si>
  <si>
    <t xml:space="preserve">MapComponent.tsx uses CartoDB/OpenStreetMap tiles; only a cosmetic label 'OneMap API Layout' exists in incidents/new/page.tsx</t>
  </si>
  <si>
    <t xml:space="preserve">No real OneMap integration/geocoding anywhere in repo</t>
  </si>
  <si>
    <t xml:space="preserve">Incident pins geocoded from text address via OneMap</t>
  </si>
  <si>
    <t xml:space="preserve">MapComponent.tsx plots directly from stored lat/lng; no geocoding API call exists</t>
  </si>
  <si>
    <t xml:space="preserve">Manual pin-drop path works; auto-geocode path does not</t>
  </si>
  <si>
    <t xml:space="preserve">Faults shown as separate drop-pin map layer</t>
  </si>
  <si>
    <t xml:space="preserve">MapComponent has no 'faults' prop at all; dashboard fetches faults but never passes them to the map</t>
  </si>
  <si>
    <t xml:space="preserve">Active Works (NOP) boundary overlay layer</t>
  </si>
  <si>
    <t xml:space="preserve">No NOP-related code in MapComponent; BoundaryMapDrawer.tsx comment itself says NOP map integration is an unbuilt follow-on</t>
  </si>
  <si>
    <t xml:space="preserve">Pin clustering at zoom levels</t>
  </si>
  <si>
    <t xml:space="preserve">No clustering library wired in (grep 'markercluster' -&gt; no matches)</t>
  </si>
  <si>
    <t xml:space="preserve">Pin click -&gt; summary panel with link to full record</t>
  </si>
  <si>
    <t xml:space="preserve">MapComponent.tsx popupContent lines ~141-171</t>
  </si>
  <si>
    <t xml:space="preserve">Map coverage beyond Sentosa (Mt Faber/HarbourFront/VivoCity)</t>
  </si>
  <si>
    <t xml:space="preserve">MapComponent.tsx hardcodes maxBounds to Sentosa Island only (1.23-1.27 lat / 103.79-103.86 lng)</t>
  </si>
  <si>
    <t xml:space="preserve">2.5.1</t>
  </si>
  <si>
    <t xml:space="preserve">Live metric feed to UCS Dashboard</t>
  </si>
  <si>
    <t xml:space="preserve">No /ucs route or feed export anywhere in src/app/api</t>
  </si>
  <si>
    <t xml:space="preserve">'UCS' only exists as a dropdown value for Incident reporting source</t>
  </si>
  <si>
    <t xml:space="preserve">2.5.2</t>
  </si>
  <si>
    <t xml:space="preserve">Embedded CMS functions within UCS (inline CRUD widgets)</t>
  </si>
  <si>
    <t xml:space="preserve">No embeddable widget/iframe/API contract for UCS consumption</t>
  </si>
  <si>
    <t xml:space="preserve">2.5.3</t>
  </si>
  <si>
    <t xml:space="preserve">Navigation from UCS to CMS record pages</t>
  </si>
  <si>
    <t xml:space="preserve">No UCS-side code in this repo to navigate from</t>
  </si>
  <si>
    <t xml:space="preserve">Inherently a UCS-side feature; confirm UCS is tracked in a separate repo</t>
  </si>
  <si>
    <t xml:space="preserve">2.5.4</t>
  </si>
  <si>
    <t xml:space="preserve">Incident creation from UCS, pre-populated from VA alert</t>
  </si>
  <si>
    <t xml:space="preserve">Incident form supports 'UCS'/'VA' reporting-source tags + duplicate-check API exists</t>
  </si>
  <si>
    <t xml:space="preserve">No actual UCS-side trigger/embed exists, only the CMS tagging field</t>
  </si>
  <si>
    <t xml:space="preserve">2.5.5</t>
  </si>
  <si>
    <t xml:space="preserve">External weather alert forwarding -&gt; advisory broadcast</t>
  </si>
  <si>
    <t xml:space="preserve">grep 'weather' -&gt; only an incident sub-type label and a placeholder example string</t>
  </si>
  <si>
    <t xml:space="preserve">2.5.6</t>
  </si>
  <si>
    <t xml:space="preserve">Last 10 Actions widget (CMS -&gt; UCS)</t>
  </si>
  <si>
    <t xml:space="preserve">grep 'last 10 action' -&gt; zero matches</t>
  </si>
  <si>
    <t xml:space="preserve">2.5.7</t>
  </si>
  <si>
    <t xml:space="preserve">Broadcast integration with UCS</t>
  </si>
  <si>
    <t xml:space="preserve">Broadcast core exists in CMS but no UCS-facing surface or 'has draft broadcast' indicator</t>
  </si>
  <si>
    <t xml:space="preserve">2.5.8</t>
  </si>
  <si>
    <t xml:space="preserve">Crisis Recall with UCS</t>
  </si>
  <si>
    <t xml:space="preserve">No Crisis Recall feature exists in CMS at all (see module 11)</t>
  </si>
  <si>
    <t xml:space="preserve">3.1 Roles</t>
  </si>
  <si>
    <t xml:space="preserve">11 named system roles (Sys Admin, Current Ops Admin, DM, DO, Controller, Responder, Stakeholder, Broadcast Recipient, Zone/Contract Mgr Non-IFM, OR Analyst, NOP Applicant/Approver)</t>
  </si>
  <si>
    <t xml:space="preserve">3.1</t>
  </si>
  <si>
    <t xml:space="preserve">RoleContext.tsx UserRole type only defines 7 switchable roles; 3 more exist as free-text strings in mock data (not selectable)</t>
  </si>
  <si>
    <t xml:space="preserve">Zone/Contract Manager, NOP Applicant, NOP Approver roles are entirely missing from code</t>
  </si>
  <si>
    <t xml:space="preserve">Per-role system access matrix (view/edit/provisioning scope)</t>
  </si>
  <si>
    <t xml:space="preserve">admin/roles/page.tsx DEFAULT_ROLES/DEFAULT_MATRIX reproduces the FRD matrix closely</t>
  </si>
  <si>
    <t xml:space="preserve">IMPORTANT: this matrix is display-only - no other page reads it; real gating is hardcoded booleans per-page, so editing this admin screen has no functional effect</t>
  </si>
  <si>
    <t xml:space="preserve">Current Ops Administrator gets Taxonomy management access (but not user/role provisioning)</t>
  </si>
  <si>
    <t xml:space="preserve">AdminGuard.tsx blocks ALL /admin/* pages incl. Taxonomy to non-'System Administrator' roles</t>
  </si>
  <si>
    <t xml:space="preserve">Contradicts FRD row granting Current Ops Admin taxonomy management</t>
  </si>
  <si>
    <t xml:space="preserve">3.2 DM Elevation</t>
  </si>
  <si>
    <t xml:space="preserve">DO (and per v0.5, Controller) elevation to DM permissions</t>
  </si>
  <si>
    <t xml:space="preserve">3.2</t>
  </si>
  <si>
    <t xml:space="preserve">Sidebar.tsx has a purely local, non-persisted 'isDOElevated' toggle only for Duty Officer role</t>
  </si>
  <si>
    <t xml:space="preserve">Not tied to backend, lost on refresh, doesn't gate any actual permission; Controller elevation not implemented at all</t>
  </si>
  <si>
    <t xml:space="preserve">Only Sys Admin/Current Ops Admin may grant elevation; shift start/end + grace period + granting admin recorded</t>
  </si>
  <si>
    <t xml:space="preserve">grep 'elevat' -&gt; only the Sidebar toggle + static descriptive text in admin/roles and admin/users pages</t>
  </si>
  <si>
    <t xml:space="preserve">No grant workflow, no data model for elevation records</t>
  </si>
  <si>
    <t xml:space="preserve">Auto-revert after configurable grace period</t>
  </si>
  <si>
    <t xml:space="preserve">No grace-period timer/config found in admin/system-settings</t>
  </si>
  <si>
    <t xml:space="preserve">Elevated user cannot close/endorse incident they created themselves</t>
  </si>
  <si>
    <t xml:space="preserve">3.2 / 5.10.1h</t>
  </si>
  <si>
    <t xml:space="preserve">incidents/[...id]/page.tsx allows endorsement action with no creator/submitter identity check</t>
  </si>
  <si>
    <t xml:space="preserve">Same root gap as FRD 5.10.1(h)/(i) separation-of-duties rule</t>
  </si>
  <si>
    <t xml:space="preserve">3.3.1 Incident Matrix</t>
  </si>
  <si>
    <t xml:space="preserve">Incident status lifecycle per role/status action matrix</t>
  </si>
  <si>
    <t xml:space="preserve">3.3.1</t>
  </si>
  <si>
    <t xml:space="preserve">API knownActions + incident detail page action buttons implement full lifecycle gating by isCtrl/isMgr/isRanger</t>
  </si>
  <si>
    <t xml:space="preserve">'Live (Pending Controller Review)' modeled as a per-Responder lifecycleStatus, not an Incident-level status - a data-shape nuance, not a functional gap</t>
  </si>
  <si>
    <t xml:space="preserve">Duty Officer cannot self-submit for endorsement; can only endorse if elevated AND not the original submitter</t>
  </si>
  <si>
    <t xml:space="preserve">isMgr treats Duty Officer identically to Duty Manager with no elevation-state or submitter-identity check</t>
  </si>
  <si>
    <t xml:space="preserve">Any Duty Officer can approve/return endorsement at any time - no elevation gating, no self-endorsement block</t>
  </si>
  <si>
    <t xml:space="preserve">SDC Stakeholder: view-only, scoped to authorised/relevant incident records</t>
  </si>
  <si>
    <t xml:space="preserve">3.3.1 / 3.5</t>
  </si>
  <si>
    <t xml:space="preserve">No Stakeholder branch in incident page -&gt; defaults to read-only (satisfies view-only) but not scoped by type/department</t>
  </si>
  <si>
    <t xml:space="preserve">Stakeholder can view ALL incidents, not just relevant ones</t>
  </si>
  <si>
    <t xml:space="preserve">Closed incident stays viewable ~12 hours post-closure (Controller)</t>
  </si>
  <si>
    <t xml:space="preserve">Unclear / Needs BA Confirmation</t>
  </si>
  <si>
    <t xml:space="preserve">No 12-hour visibility window logic found; closed incidents remain visible indefinitely</t>
  </si>
  <si>
    <t xml:space="preserve">Also unclear in FRD itself whether this means hide-after-12h or something else - needs BA clarification</t>
  </si>
  <si>
    <t xml:space="preserve">3.3.2 Task Matrix</t>
  </si>
  <si>
    <t xml:space="preserve">Task status lifecycle + role actions (Controller/DM/DO broad rights, Assignee restricted, no access pre-assignment)</t>
  </si>
  <si>
    <t xml:space="preserve">3.3.2</t>
  </si>
  <si>
    <t xml:space="preserve">tasks/[...id]/page.tsx + api/tasks/[...id]/route.ts role gating (isCtrl/isMgr/isRanger/isAssignee)</t>
  </si>
  <si>
    <t xml:space="preserve">Code adds 2 extra statuses (Pending Closure, Returned) beyond FRD's 6-status table - functional enhancement, flag for FRD doc update</t>
  </si>
  <si>
    <t xml:space="preserve">3.3.3 e-Diary Matrix</t>
  </si>
  <si>
    <t xml:space="preserve">Create/View limited to Sys Admin/Current Ops Admin/DM/DO/Controller only</t>
  </si>
  <si>
    <t xml:space="preserve">3.3.3</t>
  </si>
  <si>
    <t xml:space="preserve">EDiaryTab.tsx ALLOWED_ROLES matches FRD list (plus Current Ops Admin)</t>
  </si>
  <si>
    <t xml:space="preserve">Edit: not allowed for any role (immutable after submission)</t>
  </si>
  <si>
    <t xml:space="preserve">api/occurrences/route.ts has only GET/POST handlers, no PATCH</t>
  </si>
  <si>
    <t xml:space="preserve">NOTE: this actually conflicts with FRD 9.1(c) which wants entries mutable w/ tracked amendments - see e-Diary module</t>
  </si>
  <si>
    <t xml:space="preserve">Delete: allowed for System Administrator only</t>
  </si>
  <si>
    <t xml:space="preserve">No DELETE handler exists in api/occurrences/route.ts at all - even Sys Admin cannot delete</t>
  </si>
  <si>
    <t xml:space="preserve">3.3.4 Events Matrix</t>
  </si>
  <si>
    <t xml:space="preserve">Role/status action matrix for Events Management</t>
  </si>
  <si>
    <t xml:space="preserve">3.3.4</t>
  </si>
  <si>
    <t xml:space="preserve">FRD source PDF page 31: heading '3.3.4 Events Management' appears with NO table beneath it, jumps straight to 3.4</t>
  </si>
  <si>
    <t xml:space="preserve">FRD authoring gap, not a code gap. EventsTab.tsx uses a placeholder role list pending confirmation. NEEDS SHINFENG INPUT.</t>
  </si>
  <si>
    <t xml:space="preserve">3.4 Data Retention</t>
  </si>
  <si>
    <t xml:space="preserve">Deactivated user's records remain accessible; creator identity preserved</t>
  </si>
  <si>
    <t xml:space="preserve">3.4</t>
  </si>
  <si>
    <t xml:space="preserve">Records store createdBy as plain string (no FK), so deactivation cannot cascade-delete/orphan attribution</t>
  </si>
  <si>
    <t xml:space="preserve">Caveat: entire user system is mock/localStorage, not a real backend - retention is a side-effect, not an engineered feature</t>
  </si>
  <si>
    <t xml:space="preserve">3.5 Stakeholder Access</t>
  </si>
  <si>
    <t xml:space="preserve">SDC Stakeholder auto-granted view-only access scoped by Incident Type</t>
  </si>
  <si>
    <t xml:space="preserve">3.5</t>
  </si>
  <si>
    <t xml:space="preserve">grep 'Stakeholder' in api/incidents -&gt; no matches; no type/department scoping logic exists</t>
  </si>
  <si>
    <t xml:space="preserve">Stakeholder sees all incidents by default, not scoped subset</t>
  </si>
  <si>
    <t xml:space="preserve">4.1-4.2</t>
  </si>
  <si>
    <t xml:space="preserve">Case as lean parent: 0/1 Incident, 0..n Tasks, 0..n CMMS Fault tickets, 0..n e-Diary entries</t>
  </si>
  <si>
    <t xml:space="preserve">src/lib/db.ts Case interface: incident, cmmsTickets[], taskCount/occurrenceCount/faultCount</t>
  </si>
  <si>
    <t xml:space="preserve">4.2</t>
  </si>
  <si>
    <t xml:space="preserve">Master/Slave (duplicate) incident linkage</t>
  </si>
  <si>
    <t xml:space="preserve">db.ts SlaveIncident interface, isDuplicate/masterIncidentId fields, link-duplicate action</t>
  </si>
  <si>
    <t xml:space="preserve">4.1(f)</t>
  </si>
  <si>
    <t xml:space="preserve">Auto-create Case when Incident/Task created without existing Case</t>
  </si>
  <si>
    <t xml:space="preserve">4.1</t>
  </si>
  <si>
    <t xml:space="preserve">api/cases/route.ts generateCaseId + generateIncidentId in one POST</t>
  </si>
  <si>
    <t xml:space="preserve">4.1(g)</t>
  </si>
  <si>
    <t xml:space="preserve">Auto-create Case when e-Diary entry created without existing Case</t>
  </si>
  <si>
    <t xml:space="preserve">Occurrence.caseId is optional in db.ts, suggesting entries can exist without a Case</t>
  </si>
  <si>
    <t xml:space="preserve">Needs follow-up read of api/occurrences/route.ts POST handler to confirm/deny auto-case-creation</t>
  </si>
  <si>
    <t xml:space="preserve">4.1(h)</t>
  </si>
  <si>
    <t xml:space="preserve">Events are NOT Case sub-records; don't affect Case status</t>
  </si>
  <si>
    <t xml:space="preserve">EventRecord has no caseId field at all, only optional sourceEDiaryId</t>
  </si>
  <si>
    <t xml:space="preserve">4.3.1</t>
  </si>
  <si>
    <t xml:space="preserve">Case ID format SEN/CI/YYYYMMDD/NNN</t>
  </si>
  <si>
    <t xml:space="preserve">db.ts generateCaseId()</t>
  </si>
  <si>
    <t xml:space="preserve">Case fields: ID/Title/Status/CreatedBy-At/ClosedBy-At (system managed)</t>
  </si>
  <si>
    <t xml:space="preserve">Case interface fields match 1:1</t>
  </si>
  <si>
    <t xml:space="preserve">Title auto-population for VA/system-triggered vs Controller-input not independently re-verified</t>
  </si>
  <si>
    <t xml:space="preserve">4.3.2</t>
  </si>
  <si>
    <t xml:space="preserve">Case statuses Pending Triage -&gt; Active/No Action Required -&gt; Closed with defined transition rules</t>
  </si>
  <si>
    <t xml:space="preserve">api/cases/[...id]/route.ts explicit allow-list + auto-transition to Active on child record add</t>
  </si>
  <si>
    <t xml:space="preserve">Controller may close Case after CMMS ticket raised, without waiting for IFM resolution</t>
  </si>
  <si>
    <t xml:space="preserve">Not specifically isolated in this pass</t>
  </si>
  <si>
    <t xml:space="preserve">Recommend a follow-up check of the Case-closure validation branch</t>
  </si>
  <si>
    <t xml:space="preserve">5.1.1 Types</t>
  </si>
  <si>
    <t xml:space="preserve">Type + Sub-type mandatory, unique sub-types per type, 'Others' fallback</t>
  </si>
  <si>
    <t xml:space="preserve">5.1.1</t>
  </si>
  <si>
    <t xml:space="preserve">src/lib/taxonomy.ts DEFAULT_REFERENCE_DATA + validation in api/cases/route.ts</t>
  </si>
  <si>
    <t xml:space="preserve">'Others' fallback not present as a seeded default option</t>
  </si>
  <si>
    <t xml:space="preserve">5.1.2 Categories</t>
  </si>
  <si>
    <t xml:space="preserve">3 categories (Operational/Backdated/Informational-Exercise) drive default response/assignment/closure/broadcast behaviour</t>
  </si>
  <si>
    <t xml:space="preserve">5.1.2</t>
  </si>
  <si>
    <t xml:space="preserve">src/lib/incidentCategory.ts, wired into create + update routes</t>
  </si>
  <si>
    <t xml:space="preserve">All 3 categories currently share identical lifecycle; only behavioural diff is optional Responder assignment (already true for all) - confirm this satisfies FRD intent</t>
  </si>
  <si>
    <t xml:space="preserve">5.2 Crisis Level</t>
  </si>
  <si>
    <t xml:space="preserve">Default Level 4 at creation; Controller/DM/DO can escalate; 45-min reminder</t>
  </si>
  <si>
    <t xml:space="preserve">5.2</t>
  </si>
  <si>
    <t xml:space="preserve">api/cases/route.ts crisisReminderDue = +45min; incident page fires notification at elapsed 45min</t>
  </si>
  <si>
    <t xml:space="preserve">Reminder is client-side only - fires only while someone has that incident's page open, no server cron/push</t>
  </si>
  <si>
    <t xml:space="preserve">5.3.1 General Info</t>
  </si>
  <si>
    <t xml:space="preserve">ID/Case ID auto-format, Title, DateTime, Type/Subtype, Priority, Crisis Level, Reporter, Requested/Created By, Status, Assigned To</t>
  </si>
  <si>
    <t xml:space="preserve">5.3.1</t>
  </si>
  <si>
    <t xml:space="preserve">ID format SEN/IR/YYYYMMDD/NNNN in db.ts; all fields present in incidents/new/page.tsx</t>
  </si>
  <si>
    <t xml:space="preserve">5.3.2 Location</t>
  </si>
  <si>
    <t xml:space="preserve">Road/Building/Level+Space/Near-At/Common Name/Postal Code(default 000000)/Tags/mini-map pin drop</t>
  </si>
  <si>
    <t xml:space="preserve">5.3.2</t>
  </si>
  <si>
    <t xml:space="preserve">LocationSelector.tsx + incidents/new/page.tsx</t>
  </si>
  <si>
    <t xml:space="preserve">Minimap is a static/mock 'OneMap API Layout' placeholder, not a live GIS integration</t>
  </si>
  <si>
    <t xml:space="preserve">5.3.3 Incident Log</t>
  </si>
  <si>
    <t xml:space="preserve">Event Number auto, timestamped Date/Time/Description rows, auto-sorted</t>
  </si>
  <si>
    <t xml:space="preserve">5.3.3</t>
  </si>
  <si>
    <t xml:space="preserve">api/incidents/[...id]/route.ts makeLogEntry(), timeline rendering in incident detail page</t>
  </si>
  <si>
    <t xml:space="preserve">5.3.4 Emergency Services</t>
  </si>
  <si>
    <t xml:space="preserve">Police / Ambulance / SCDF fields</t>
  </si>
  <si>
    <t xml:space="preserve">5.3.4</t>
  </si>
  <si>
    <t xml:space="preserve">EmergencyService model + incident detail page panels</t>
  </si>
  <si>
    <t xml:space="preserve">5.3.5 Media Involvement</t>
  </si>
  <si>
    <t xml:space="preserve">Media at Scene flag, Media Name, SDC Comms notification prompt</t>
  </si>
  <si>
    <t xml:space="preserve">5.3.5</t>
  </si>
  <si>
    <t xml:space="preserve">api/incidents/[...id]/route.ts auto-logs media presence + comms-notified entries</t>
  </si>
  <si>
    <t xml:space="preserve">5.3.6 Property/Vehicles</t>
  </si>
  <si>
    <t xml:space="preserve">SDC property damage + description; vehicle fields</t>
  </si>
  <si>
    <t xml:space="preserve">5.3.6</t>
  </si>
  <si>
    <t xml:space="preserve">PropertyDamage / VehicleInvolved models + incident detail accordion</t>
  </si>
  <si>
    <t xml:space="preserve">5.3.7 Persons Involved</t>
  </si>
  <si>
    <t xml:space="preserve">Guest/Non-guest, Type, Name, Address, Age, Gender, Contact, Role, Injury flag</t>
  </si>
  <si>
    <t xml:space="preserve">5.3.7</t>
  </si>
  <si>
    <t xml:space="preserve">PersonInvolved model + incident detail accordion</t>
  </si>
  <si>
    <t xml:space="preserve">5.3.8 Personal Injuries</t>
  </si>
  <si>
    <t xml:space="preserve">Clinic/Hospital, MSIG form+serial, Under-16 + guardian sub-form</t>
  </si>
  <si>
    <t xml:space="preserve">5.3.8</t>
  </si>
  <si>
    <t xml:space="preserve">PersonalInjury model incl. under16/parentGuardianName/Contact</t>
  </si>
  <si>
    <t xml:space="preserve">5.3.9 CCTV/BWC</t>
  </si>
  <si>
    <t xml:space="preserve">Camera No, VMS timestamp/bookmark, BWC No/timestamp, multi-entry</t>
  </si>
  <si>
    <t xml:space="preserve">5.3.9</t>
  </si>
  <si>
    <t xml:space="preserve">incident detail page CCTV &amp; BWC accordion, multi-entry array</t>
  </si>
  <si>
    <t xml:space="preserve">5.3.10 Attachments</t>
  </si>
  <si>
    <t xml:space="preserve">File upload (photo/video/doc), police reports excluded</t>
  </si>
  <si>
    <t xml:space="preserve">5.3.10</t>
  </si>
  <si>
    <t xml:space="preserve">incident detail Attachments accordion</t>
  </si>
  <si>
    <t xml:space="preserve">No hard filter blocking 'police report' file types - relies on user discipline; confirm if a hard rule is required</t>
  </si>
  <si>
    <t xml:space="preserve">5.3.11 Summary/Closure</t>
  </si>
  <si>
    <t xml:space="preserve">Summary text, Endorsement history, mandatory Return remarks, Closed By/At, Closure Broadcast status</t>
  </si>
  <si>
    <t xml:space="preserve">5.3.11</t>
  </si>
  <si>
    <t xml:space="preserve">Summary autosave + closedBy/At + return-remarks-required logic all built; broadcast status badge shown</t>
  </si>
  <si>
    <t xml:space="preserve">No dedicated role-gated 'Endorsement Submission History' panel - only generic timeline log entries</t>
  </si>
  <si>
    <t xml:space="preserve">5.4 Lifecycle</t>
  </si>
  <si>
    <t xml:space="preserve">Manual/auto creation, auto Case creation, optional Responder, Closed = read-only, Sys-Admin-only reopen</t>
  </si>
  <si>
    <t xml:space="preserve">5.4</t>
  </si>
  <si>
    <t xml:space="preserve">api/cases/route.ts + api/incidents/[...id]/route.ts reopen action gated to System Administrator</t>
  </si>
  <si>
    <t xml:space="preserve">5.4.1 Status Defs</t>
  </si>
  <si>
    <t xml:space="preserve">9 official v0.5 statuses incl. new 'Pending Controller Review'</t>
  </si>
  <si>
    <t xml:space="preserve">5.4.1</t>
  </si>
  <si>
    <t xml:space="preserve">Incident-level status covers 5 values; per-Responder lifecycleStatus covers the other 4 (Ack/OnSite/PendingCtrlReview/Incomplete/Completed)</t>
  </si>
  <si>
    <t xml:space="preserve">Intentional Incident/Responder status-split architecture (see Incident_Status_Model_Design_Updated.docx) - captures same info but FRD's single-status-column model no longer matches 1:1; flag for FRD wording update, not a functional gap</t>
  </si>
  <si>
    <t xml:space="preserve">5.4.2 Process Flow</t>
  </si>
  <si>
    <t xml:space="preserve">High-level incident process flow (Fig 5-1/5-2)</t>
  </si>
  <si>
    <t xml:space="preserve">5.4.2</t>
  </si>
  <si>
    <t xml:space="preserve">incidents/lifecycle/page.tsx renders an interactive lifecycle reference page</t>
  </si>
  <si>
    <t xml:space="preserve">5.4.3 Ageing Alerts</t>
  </si>
  <si>
    <t xml:space="preserve">12-day notice, 14-day escalation</t>
  </si>
  <si>
    <t xml:space="preserve">5.4.3</t>
  </si>
  <si>
    <t xml:space="preserve">incident detail page fires client-side notifications at 12/14 days elapsed</t>
  </si>
  <si>
    <t xml:space="preserve">Fires only while that incident's own page is open in-browser, not a server-side push</t>
  </si>
  <si>
    <t xml:space="preserve">Daily Ageing Summary report, 30 min after shift start, to Duty Manager</t>
  </si>
  <si>
    <t xml:space="preserve">No cron/scheduled job or summary report page found (searched 'ageing summary','shift start')</t>
  </si>
  <si>
    <t xml:space="preserve">5.4.4 Reporting Sources</t>
  </si>
  <si>
    <t xml:space="preserve">Source field on Incident (Public/Email/UCS/VA/State Agency etc.)</t>
  </si>
  <si>
    <t xml:space="preserve">5.4.4</t>
  </si>
  <si>
    <t xml:space="preserve">incident.reportingSource field + dropdown + filter in IncidentLogTab.tsx</t>
  </si>
  <si>
    <t xml:space="preserve">5.5.1 Assignment</t>
  </si>
  <si>
    <t xml:space="preserve">Multi-Responder assign, assign anytime while Live, notify on assignment, reassignment allowed</t>
  </si>
  <si>
    <t xml:space="preserve">5.5.1</t>
  </si>
  <si>
    <t xml:space="preserve">api/incidents/[...id]/route.ts assign action + MultiResponderSelect.tsx</t>
  </si>
  <si>
    <t xml:space="preserve">Notification is in-app only (NotificationContext) - no SMS/email dispatch confirmed</t>
  </si>
  <si>
    <t xml:space="preserve">5.5.2 Milestone Tracking</t>
  </si>
  <si>
    <t xml:space="preserve">Dispatch/Acknowledgement/Arrival/Activity/Completion per-Responder</t>
  </si>
  <si>
    <t xml:space="preserve">5.5.2</t>
  </si>
  <si>
    <t xml:space="preserve">acknowledge/on-site/notify-complete actions update per-Responder lifecycleStatus + timestamps</t>
  </si>
  <si>
    <t xml:space="preserve">5.5.3 Incident Logging</t>
  </si>
  <si>
    <t xml:space="preserve">Log editable across active statuses; view-only in Pending Endorsement/Closed; re-enabled on Return</t>
  </si>
  <si>
    <t xml:space="preserve">5.5.3</t>
  </si>
  <si>
    <t xml:space="preserve">incident detail page edit/delete gated on status !== Pending Endorsement/Closed</t>
  </si>
  <si>
    <t xml:space="preserve">5.5.3(h)</t>
  </si>
  <si>
    <t xml:space="preserve">Responder retains read-only access for 12 hours post-closure, then loses visibility</t>
  </si>
  <si>
    <t xml:space="preserve">No time-boxed visibility restriction found anywhere in app/context/lib</t>
  </si>
  <si>
    <t xml:space="preserve">Needs an RBAC rule tied to a rolling 12h timer since closedAt; needs BA confirmation on exact enforcement wanted</t>
  </si>
  <si>
    <t xml:space="preserve">5.6 Duplicate Detection</t>
  </si>
  <si>
    <t xml:space="preserve">Flag matching date/type/subtype; Controller override/proceed/link; linked duplicate closes with master</t>
  </si>
  <si>
    <t xml:space="preserve">5.6</t>
  </si>
  <si>
    <t xml:space="preserve">api/incidents/check-duplicates (2-hour window) + link-duplicate action + close cascades slaveIncidents</t>
  </si>
  <si>
    <t xml:space="preserve">Match window is a fixed +/-2 hours - an implementation assumption not specified by FRD; confirm with BA</t>
  </si>
  <si>
    <t xml:space="preserve">5.7.1 Save Mechanism</t>
  </si>
  <si>
    <t xml:space="preserve">Auto-save at intervals, manual save, unsaved indicator, admin-configurable interval</t>
  </si>
  <si>
    <t xml:space="preserve">5.7.1</t>
  </si>
  <si>
    <t xml:space="preserve">incident page autosaves on a timer reading admin system-settings interval; unsaved indicator shown</t>
  </si>
  <si>
    <t xml:space="preserve">Auto-save currently only flushes the Summary field, not a full-form periodic autosave of every section</t>
  </si>
  <si>
    <t xml:space="preserve">5.7.2 Concurrent Editing</t>
  </si>
  <si>
    <t xml:space="preserve">Notify 2nd user record is being edited; conflict resolution on simultaneous save</t>
  </si>
  <si>
    <t xml:space="preserve">5.7.2</t>
  </si>
  <si>
    <t xml:space="preserve">db.ts has editingBy/editingStartedAt fields defined but zero reads/writes anywhere in src</t>
  </si>
  <si>
    <t xml:space="preserve">Schema placeholder only - no lock-acquire/release logic, no 'being edited by X' UI, no conflict prompt</t>
  </si>
  <si>
    <t xml:space="preserve">5.8 Linked Fault Creation</t>
  </si>
  <si>
    <t xml:space="preserve">Raise Fault from active Incident, linked to CMMS workflow, independent closure</t>
  </si>
  <si>
    <t xml:space="preserve">5.8</t>
  </si>
  <si>
    <t xml:space="preserve">incident detail page renders FaultCreateModal with linkedIncidentId; Fault stores linkedIncidentId</t>
  </si>
  <si>
    <t xml:space="preserve">5.9 False Alarm</t>
  </si>
  <si>
    <t xml:space="preserve">Log + mark false alarm, no DM endorsement required, retained for audit</t>
  </si>
  <si>
    <t xml:space="preserve">5.9</t>
  </si>
  <si>
    <t xml:space="preserve">api/incidents/[...id]/route.ts mark-false-alarm action sets Closed directly, isFalseAlarm=true</t>
  </si>
  <si>
    <t xml:space="preserve">5.10 Closure/Reopening</t>
  </si>
  <si>
    <t xml:space="preserve">DM approval required (except false alarm); submit-&gt;review-&gt;approve/return; Closed=read-only; Sys-Admin-only reopen; closure broadcast prompt</t>
  </si>
  <si>
    <t xml:space="preserve">5.10</t>
  </si>
  <si>
    <t xml:space="preserve">close/return/reopen actions in api/incidents/[...id]/route.ts implement full flow</t>
  </si>
  <si>
    <t xml:space="preserve">5.10.1(a) Endorsement Rules</t>
  </si>
  <si>
    <t xml:space="preserve">Controller may submit/resubmit from any active status</t>
  </si>
  <si>
    <t xml:space="preserve">5.10.1</t>
  </si>
  <si>
    <t xml:space="preserve">route.ts allows submit from Live/Live(Assigned)/Returned</t>
  </si>
  <si>
    <t xml:space="preserve">'Any active status' is narrower in code (3 statuses) but these are effectively all non-terminal Controller-facing statuses in the current model</t>
  </si>
  <si>
    <t xml:space="preserve">5.10.1(b)</t>
  </si>
  <si>
    <t xml:space="preserve">Submission allowed even with incomplete Responder actions</t>
  </si>
  <si>
    <t xml:space="preserve">route.ts computes notYetReviewed but does not block submission outright</t>
  </si>
  <si>
    <t xml:space="preserve">5.10.1(c)</t>
  </si>
  <si>
    <t xml:space="preserve">Alert Controller to incomplete Responder actions before accepting submission</t>
  </si>
  <si>
    <t xml:space="preserve">route.ts returns 409 with requiresForce + outstandingResponders list</t>
  </si>
  <si>
    <t xml:space="preserve">5.10.1(d)</t>
  </si>
  <si>
    <t xml:space="preserve">Force-proceed requires confirmation + MANDATORY override remark</t>
  </si>
  <si>
    <t xml:space="preserve">route.ts requires body.force=true boolean to bypass warning</t>
  </si>
  <si>
    <t xml:space="preserve">No evidence a free-text override remark is actually captured/required - only a boolean confirm; log entry is auto-generated system text, not user-entered</t>
  </si>
  <si>
    <t xml:space="preserve">5.10.1(e)</t>
  </si>
  <si>
    <t xml:space="preserve">Accepted submission sets status to Pending Endorsement</t>
  </si>
  <si>
    <t xml:space="preserve">route.ts</t>
  </si>
  <si>
    <t xml:space="preserve">5.10.1(f)</t>
  </si>
  <si>
    <t xml:space="preserve">No recall/cancel of submission; amend only after Return</t>
  </si>
  <si>
    <t xml:space="preserve">No recall/cancel action exists in knownActions list</t>
  </si>
  <si>
    <t xml:space="preserve">5.10.1(g)</t>
  </si>
  <si>
    <t xml:space="preserve">DM return -&gt; Returned status; Controller can amend/update/manage responders/return-to-responder/resubmit</t>
  </si>
  <si>
    <t xml:space="preserve">return + return-to-responder actions + field-update endpoints remain callable while Returned</t>
  </si>
  <si>
    <t xml:space="preserve">5.10.1(h)</t>
  </si>
  <si>
    <t xml:space="preserve">BLOCK DM endorsement where endorsing user = creator/submitter/resubmitter (separation of duties)</t>
  </si>
  <si>
    <t xml:space="preserve">Searched close action + whole codebase for 'separation'/actor-identity checks - none exist</t>
  </si>
  <si>
    <t xml:space="preserve">HIGH PRIORITY GAP - compliance-relevant control completely unenforced at API and UI layers</t>
  </si>
  <si>
    <t xml:space="preserve">5.10.1(i)</t>
  </si>
  <si>
    <t xml:space="preserve">Separation-of-duties rule applies even when using elevated DM permissions</t>
  </si>
  <si>
    <t xml:space="preserve">Depends entirely on (h) being built first - neither exists</t>
  </si>
  <si>
    <t xml:space="preserve">5.11.1 Closure Broadcast</t>
  </si>
  <si>
    <t xml:space="preserve">Auto-trigger on DM endorsement; Controller reviews/confirms recipients/dispatches; one broadcast per incident; status+ID displayed</t>
  </si>
  <si>
    <t xml:space="preserve">5.11.1</t>
  </si>
  <si>
    <t xml:space="preserve">close action auto-creates a BroadcastLog entry (status PENDING) with templated content; status badge shown read-only</t>
  </si>
  <si>
    <t xml:space="preserve">No Controller-facing review/confirm/dispatch UI exists at all - /broadcasts page is a literal 'Coming soon' stub, no /api/broadcasts route; broadcast permanently stuck at PENDING</t>
  </si>
  <si>
    <t xml:space="preserve">5.11.2 EOD Interim Broadcast</t>
  </si>
  <si>
    <t xml:space="preserve">Flag open incidents for EOD batch queue; DM reviews/approves dispatch per incident</t>
  </si>
  <si>
    <t xml:space="preserve">5.11.2</t>
  </si>
  <si>
    <t xml:space="preserve">admin/broadcast-config has an EOD template configured but no batch-queue mechanism, cron, or review screen found</t>
  </si>
  <si>
    <t xml:space="preserve">6.1 Entry Points</t>
  </si>
  <si>
    <t xml:space="preserve">From active Incident, Standalone Case, SDC Staff App</t>
  </si>
  <si>
    <t xml:space="preserve">6.1</t>
  </si>
  <si>
    <t xml:space="preserve">FaultCreateModal supports linked-Incident and standalone/auto-create-case flows</t>
  </si>
  <si>
    <t xml:space="preserve">No Staff-App-originated fault ingestion endpoint exists; likely out of CMS's direct control per FRD wording but confirm no webhook stub expected</t>
  </si>
  <si>
    <t xml:space="preserve">6.2.1 CMMS Ticket Creation</t>
  </si>
  <si>
    <t xml:space="preserve">Check/auto-create Case; CMMS returns Ticket ID; CMMS manages status independently</t>
  </si>
  <si>
    <t xml:space="preserve">6.2.1</t>
  </si>
  <si>
    <t xml:space="preserve">api/faults/route.ts auto-create Case; api/faults/[...id]/route.ts submit action calls /api/cmms-mock</t>
  </si>
  <si>
    <t xml:space="preserve">6.2.2 Fault Field Design</t>
  </si>
  <si>
    <t xml:space="preserve">Field ID SEN/FR/YYYYMMDD/NNN, Case ID, Type/Subtype, Location, Description, Attachments, Created/Submitted/Closed By-At, Ticket ID</t>
  </si>
  <si>
    <t xml:space="preserve">6.2.2</t>
  </si>
  <si>
    <t xml:space="preserve">generateFaultId() format matches; all fields present in Fault schema + FaultCreateModal</t>
  </si>
  <si>
    <t xml:space="preserve">FRD note about Closed-By referencing DO/DM on Case closure vs code's literal 'system' string is an FRD-internal inconsistency (6.2.2 note vs 6.3.1 body) - flag for BA, not a code bug</t>
  </si>
  <si>
    <t xml:space="preserve">6.2.3 Process Flow</t>
  </si>
  <si>
    <t xml:space="preserve">High-level CMMS ticket process flow (Fig 6-1)</t>
  </si>
  <si>
    <t xml:space="preserve">6.2.3</t>
  </si>
  <si>
    <t xml:space="preserve">Implemented via submit action in api/faults/[...id]/route.ts</t>
  </si>
  <si>
    <t xml:space="preserve">6.3.1 Fault Status</t>
  </si>
  <si>
    <t xml:space="preserve">Pending Submission (Controller) -&gt; Closed (auto on CMMS ID receipt)</t>
  </si>
  <si>
    <t xml:space="preserve">6.3.1</t>
  </si>
  <si>
    <t xml:space="preserve">Fault.status transitions exactly as FRD's 2-status table describes</t>
  </si>
  <si>
    <t xml:space="preserve">6.3 Retrieval</t>
  </si>
  <si>
    <t xml:space="preserve">CMS retrieves live ticket status from CMMS API, surfaced on Case record</t>
  </si>
  <si>
    <t xml:space="preserve">6.3</t>
  </si>
  <si>
    <t xml:space="preserve">cmms-mock GET endpoint supports ticket lookup by ticketId</t>
  </si>
  <si>
    <t xml:space="preserve">Not confirmed whether Fault/Case detail view re-queries CMMS for latest status after initial submission vs only at submission time - needs follow-up check</t>
  </si>
  <si>
    <t xml:space="preserve">6.4 Non-IFM Faults</t>
  </si>
  <si>
    <t xml:space="preserve">Non-IFM faults continue in legacy system, not logged in CMS</t>
  </si>
  <si>
    <t xml:space="preserve">6.4</t>
  </si>
  <si>
    <t xml:space="preserve">N/A (excluded by design)</t>
  </si>
  <si>
    <t xml:space="preserve">No code handles non-IFM fault categories, consistent with FRD's own scope exclusion</t>
  </si>
  <si>
    <t xml:space="preserve">Correctly excluded - not a gap, confirms no accidental scope creep</t>
  </si>
  <si>
    <t xml:space="preserve">6.5 Case Linkage/Closure</t>
  </si>
  <si>
    <t xml:space="preserve">CMMS Fault ID stored on Case; Fault auto-closes independent of CMMS ticket lifecycle; Case can close before CMMS resolves; multiple Fault IDs per Case</t>
  </si>
  <si>
    <t xml:space="preserve">6.5</t>
  </si>
  <si>
    <t xml:space="preserve">Case.cmmsTickets[] array + src/lib/autoclose.ts treats ticket receipt as satisfied, never blocks closure</t>
  </si>
  <si>
    <t xml:space="preserve">7.1.1 Creation</t>
  </si>
  <si>
    <t xml:space="preserve">Created by Controller+, linked to Case, recurring + group assignment</t>
  </si>
  <si>
    <t xml:space="preserve">7.1.1</t>
  </si>
  <si>
    <t xml:space="preserve">api/tasks/route.ts POST + src/lib/recurrence.ts + src/lib/seriesEngine.ts</t>
  </si>
  <si>
    <t xml:space="preserve">7.1.2 Field Design</t>
  </si>
  <si>
    <t xml:space="preserve">Task ID SEN/TA/YYYYMMDD/NNN, Linked Case ID, Title, Description, Assignee, Priority, Due Date, Checklist, Recurrence, Comments, Close Reason, Attachments, Created By/Date</t>
  </si>
  <si>
    <t xml:space="preserve">7.1.2</t>
  </si>
  <si>
    <t xml:space="preserve">generateTaskId() + all fields in Task type + api/tasks/route.ts</t>
  </si>
  <si>
    <t xml:space="preserve">Checklist gating (all items ticked before completion) enforced server-side</t>
  </si>
  <si>
    <t xml:space="preserve">7.2 Assignment/Notification</t>
  </si>
  <si>
    <t xml:space="preserve">Notify on assignment; reassignment resets to Assigned + notifies; individual or group assignment; Sys-Admin-configurable groups</t>
  </si>
  <si>
    <t xml:space="preserve">7.2</t>
  </si>
  <si>
    <t xml:space="preserve">TaskBoardTab.tsx addNotification + api/tasks/[...id]/route.ts assign/reassign + src/lib/groups.ts</t>
  </si>
  <si>
    <t xml:space="preserve">Notification is in-app only, not SMS/email/push</t>
  </si>
  <si>
    <t xml:space="preserve">7.3.1 Process Requirements</t>
  </si>
  <si>
    <t xml:space="preserve">Controller visibility of all statuses; Case can't auto-close with open Tasks; mandatory Close Reason if closed incomplete</t>
  </si>
  <si>
    <t xml:space="preserve">7.3.1</t>
  </si>
  <si>
    <t xml:space="preserve">src/lib/autoclose.ts blocks Case auto-close on open tasks; close action requires closeReason when !completed</t>
  </si>
  <si>
    <t xml:space="preserve">7.3.2 Task Statuses</t>
  </si>
  <si>
    <t xml:space="preserve">6 statuses: Created/Assigned/Acknowledged/In Progress/Pending Further Action/Closed, with permitted actions per role</t>
  </si>
  <si>
    <t xml:space="preserve">7.3.2</t>
  </si>
  <si>
    <t xml:space="preserve">All 6 FRD statuses implemented with full role-gated action switch</t>
  </si>
  <si>
    <t xml:space="preserve">Code adds 2 extra states not in FRD's literal table: 'Pending Closure' (awaiting Controller accept/reject) and 'Returned' - mirrors Incident endorsement pattern; flag for FRD doc update or BA confirmation this enhancement is approved</t>
  </si>
  <si>
    <t xml:space="preserve">7.3.3 Process Flow</t>
  </si>
  <si>
    <t xml:space="preserve">High-level task process flow incl. Accept/Reject (Fig 7-1)</t>
  </si>
  <si>
    <t xml:space="preserve">7.3.3</t>
  </si>
  <si>
    <t xml:space="preserve">Matches the Accept/Reject flow noted above per code's own comments referencing 'Fig 7-1'</t>
  </si>
  <si>
    <t xml:space="preserve">Recommend BA re-check Figure 7-1 in the source PDF directly to confirm Pending Closure/Returned are meant to be there</t>
  </si>
  <si>
    <t xml:space="preserve">8.1.1 Requirements</t>
  </si>
  <si>
    <t xml:space="preserve">Create/edit/manage Event records</t>
  </si>
  <si>
    <t xml:space="preserve">8.1.1</t>
  </si>
  <si>
    <t xml:space="preserve">api/events/route.ts + api/events/[...id]/route.ts + EventCreateModal.tsx (full CRUD incl. delete)</t>
  </si>
  <si>
    <t xml:space="preserve">Create Event from e-Diary entry, retain source reference</t>
  </si>
  <si>
    <t xml:space="preserve">EDiaryTab.tsx 'Create or Link Event' modal passes sourceEDiaryId into EventCreateModal</t>
  </si>
  <si>
    <t xml:space="preserve">Events don't affect Case status/closure</t>
  </si>
  <si>
    <t xml:space="preserve">EventRecord has no caseId field at all</t>
  </si>
  <si>
    <t xml:space="preserve">Confirmed deliberate per code comment referencing prior BA Q&amp;A doc</t>
  </si>
  <si>
    <t xml:space="preserve">8.1.2 Field Design</t>
  </si>
  <si>
    <t xml:space="preserve">Event ID, Name, Date/Time, Location, Type, Description, Linked e-Diary, Created By/At</t>
  </si>
  <si>
    <t xml:space="preserve">8.1.2</t>
  </si>
  <si>
    <t xml:space="preserve">EventRecord interface + EventCreateModal.tsx form</t>
  </si>
  <si>
    <t xml:space="preserve">8.1.2 / 3.3.4</t>
  </si>
  <si>
    <t xml:space="preserve">Role gating for who can create/edit/delete Events</t>
  </si>
  <si>
    <t xml:space="preserve">EventsTab.tsx code comment explicitly notes FRD 3.3.4 Events role matrix is blank</t>
  </si>
  <si>
    <t xml:space="preserve">Same underlying FRD gap as row in Roles module - needs Shinfeng sign-off</t>
  </si>
  <si>
    <t xml:space="preserve">8.2 Event Location</t>
  </si>
  <si>
    <t xml:space="preserve">Location selected from hierarchy (not free text)</t>
  </si>
  <si>
    <t xml:space="preserve">8.2</t>
  </si>
  <si>
    <t xml:space="preserve">EventCreateModal.tsx uses LocationSelector; server requires location.commonName/road/building</t>
  </si>
  <si>
    <t xml:space="preserve">Server-side validation is best-effort, relies on client-supplied hierarchy data</t>
  </si>
  <si>
    <t xml:space="preserve">Draw event boundary on 2D map within selected hierarchy area, prevented outside area</t>
  </si>
  <si>
    <t xml:space="preserve">BoundaryMapDrawer.tsx radius-constrained boundary with explicit out-of-area error</t>
  </si>
  <si>
    <t xml:space="preserve">Admin maintains location hierarchy, reference points, map-drawing rules</t>
  </si>
  <si>
    <t xml:space="preserve">admin/location-hierarchy/page.tsx CRUD</t>
  </si>
  <si>
    <t xml:space="preserve">8.3 Schedule Upload</t>
  </si>
  <si>
    <t xml:space="preserve">Upload event schedule file (CSV/XLSX)</t>
  </si>
  <si>
    <t xml:space="preserve">8.3</t>
  </si>
  <si>
    <t xml:space="preserve">EventScheduleUploadModal.tsx supports .csv/.xlsx via papaparse/xlsx libs</t>
  </si>
  <si>
    <t xml:space="preserve">Extract &amp; present rows for review/amendment before import</t>
  </si>
  <si>
    <t xml:space="preserve">EventScheduleUploadModal.tsx step='review' editable table</t>
  </si>
  <si>
    <t xml:space="preserve">Validate Location against hierarchy; flag missing/incorrect/duplicate rows</t>
  </si>
  <si>
    <t xml:space="preserve">validateRows() flags missing fields, taxonomy mismatch, duplicates</t>
  </si>
  <si>
    <t xml:space="preserve">Duplicate detection is intra-batch only, not against existing Events Master List records - minor gap</t>
  </si>
  <si>
    <t xml:space="preserve">Block confirm-import until all flags resolved; report success/failure per row</t>
  </si>
  <si>
    <t xml:space="preserve">Confirm button disabled while flaggedCount&gt;0; per-row success/fail tracking on import</t>
  </si>
  <si>
    <t xml:space="preserve">8.4 Calendar/List View</t>
  </si>
  <si>
    <t xml:space="preserve">Calendar view of events by date</t>
  </si>
  <si>
    <t xml:space="preserve">8.4</t>
  </si>
  <si>
    <t xml:space="preserve">EventTimelineView.tsx implements a single-day hourly agenda (prev/next day nav)</t>
  </si>
  <si>
    <t xml:space="preserve">Satisfies 'view by date' but is a day-agenda view, not a month-grid calendar - confirm with BA if this meets intent</t>
  </si>
  <si>
    <t xml:space="preserve">List view filterable by date range and event type</t>
  </si>
  <si>
    <t xml:space="preserve">EventsTab.tsx Date From/To + Event Type filter + free-text search</t>
  </si>
  <si>
    <t xml:space="preserve">9.1(a) Creation Access</t>
  </si>
  <si>
    <t xml:space="preserve">Limited to Controller/Duty Officer/Duty Manager/Sys Admin</t>
  </si>
  <si>
    <t xml:space="preserve">9.1</t>
  </si>
  <si>
    <t xml:space="preserve">EDiaryTab.tsx ALLOWED_ROLES includes 'Current Ops Administrator' in addition to the 4 FRD-listed roles</t>
  </si>
  <si>
    <t xml:space="preserve">Not FRD-confirmed 5th role</t>
  </si>
  <si>
    <t xml:space="preserve">9.1(b) Creation</t>
  </si>
  <si>
    <t xml:space="preserve">No approval/assignment workflow required</t>
  </si>
  <si>
    <t xml:space="preserve">api/occurrences/route.ts POST creates entry immediately, no approval step</t>
  </si>
  <si>
    <t xml:space="preserve">9.1(c) Mutability</t>
  </si>
  <si>
    <t xml:space="preserve">Entries editable after submission (mutable); amendments tracked/timestamped; deletable only by Sys Admin</t>
  </si>
  <si>
    <t xml:space="preserve">api/occurrences/route.ts explicit code comment: 'No PATCH/DELETE endpoint by design... entry is immutable once submitted'</t>
  </si>
  <si>
    <t xml:space="preserve">DIRECT CONTRADICTION with FRD 9.1(c). Prisma schema even models an unused EDiaryAmendment table. NEEDS URGENT BA CLARIFICATION - functional gap, not just doc lag</t>
  </si>
  <si>
    <t xml:space="preserve">9.1(d) Attachments</t>
  </si>
  <si>
    <t xml:space="preserve">File/image attachments supported on e-Diary entries</t>
  </si>
  <si>
    <t xml:space="preserve">Occurrence.attachments field exists but always set to [] in POST; no upload UI in EDiaryTab create form</t>
  </si>
  <si>
    <t xml:space="preserve">9.1.2 Field Design</t>
  </si>
  <si>
    <t xml:space="preserve">ID, Case ID (auto-create), Linked Incidents/Tasks/Events, Created By, backdatable Date/Time, Topic, Entry Text, Attachments</t>
  </si>
  <si>
    <t xml:space="preserve">9.1.2</t>
  </si>
  <si>
    <t xml:space="preserve">ID gen + auto-case-create + backdating + Topic/Content all present</t>
  </si>
  <si>
    <t xml:space="preserve">Linked Tasks reference and Attachments are not implemented (only Linked Events and Linked Incidents via escalate flow exist)</t>
  </si>
  <si>
    <t xml:space="preserve">9.1.3(a) Create/Link</t>
  </si>
  <si>
    <t xml:space="preserve">Create/link Incident, Task, OR Event from an e-Diary entry</t>
  </si>
  <si>
    <t xml:space="preserve">9.1.3</t>
  </si>
  <si>
    <t xml:space="preserve">'Escalate to Incident' and 'Create or Link Event' both built in EDiaryTab.tsx</t>
  </si>
  <si>
    <t xml:space="preserve">No equivalent 'Create/Link Task' action exists anywhere - FRD explicitly lists Task alongside Incident/Event</t>
  </si>
  <si>
    <t xml:space="preserve">9.1.3(b) Create/Link</t>
  </si>
  <si>
    <t xml:space="preserve">New Incident/Task created in same Case, retains e-Diary reference</t>
  </si>
  <si>
    <t xml:space="preserve">Incident path confirmed (passes caseId + fromEDiary params); Task path doesn't exist to evaluate</t>
  </si>
  <si>
    <t xml:space="preserve">9.1.3(c-e)</t>
  </si>
  <si>
    <t xml:space="preserve">Event retains e-Diary reference; e-Diary entry itself unchanged after linking</t>
  </si>
  <si>
    <t xml:space="preserve">Linking only mutates EventRecord.sourceEDiaryId via PATCH; Occurrence record never touched</t>
  </si>
  <si>
    <t xml:space="preserve">9.2 Retrieval/Filtering</t>
  </si>
  <si>
    <t xml:space="preserve">Filter by date AND by user account</t>
  </si>
  <si>
    <t xml:space="preserve">9.2</t>
  </si>
  <si>
    <t xml:space="preserve">api/occurrences/route.ts GET supports dateStart/dateEnd/user/topic server-side</t>
  </si>
  <si>
    <t xml:space="preserve">EDiaryTab.tsx UI only exposes Date From/To, Topic, free-text search - no 'filter by user' control in the UI despite API support</t>
  </si>
  <si>
    <t xml:space="preserve">9.3 UCS Integration</t>
  </si>
  <si>
    <t xml:space="preserve">e-Diary accessible as a UCS module</t>
  </si>
  <si>
    <t xml:space="preserve">9.3</t>
  </si>
  <si>
    <t xml:space="preserve">No UCS integration code anywhere in repo</t>
  </si>
  <si>
    <t xml:space="preserve">Explicitly defined within the separate UCS FRD per this FRD's own wording - flag as N/A for this codebase, confirm UCS-side delivery separately</t>
  </si>
  <si>
    <t xml:space="preserve">10.1 Closure Broadcast</t>
  </si>
  <si>
    <t xml:space="preserve">Triggered on DM approval; Controller composes/confirms before dispatch</t>
  </si>
  <si>
    <t xml:space="preserve">10.1</t>
  </si>
  <si>
    <t xml:space="preserve">close action auto-creates BroadcastRecord (status PENDING); badge display exists</t>
  </si>
  <si>
    <t xml:space="preserve">No code path anywhere sets status to 'dispatched' - no Controller-facing compose/confirm/dispatch UI exists at all</t>
  </si>
  <si>
    <t xml:space="preserve">10.1 EOD Broadcast</t>
  </si>
  <si>
    <t xml:space="preserve">EOD Interim Broadcast - DM review queue</t>
  </si>
  <si>
    <t xml:space="preserve">No queue/review UI anywhere; only a static template category string in admin/broadcast-config</t>
  </si>
  <si>
    <t xml:space="preserve">10.1 Weather Broadcast</t>
  </si>
  <si>
    <t xml:space="preserve">Weather Advisory Broadcast</t>
  </si>
  <si>
    <t xml:space="preserve">No weather-alert-triggered broadcast feature found</t>
  </si>
  <si>
    <t xml:space="preserve">10.1(a-e)</t>
  </si>
  <si>
    <t xml:space="preserve">Broadcasts sent via email; prompts/templates/recipients scoped by type+crisis level</t>
  </si>
  <si>
    <t xml:space="preserve">No email-sending integration anywhere (no SMTP/nodemailer); BroadcastRecord.recipients hardcoded []</t>
  </si>
  <si>
    <t xml:space="preserve">Config exists in admin UI but never consumed since no dispatch flow exists</t>
  </si>
  <si>
    <t xml:space="preserve">10.2 Delivery Channels</t>
  </si>
  <si>
    <t xml:space="preserve">Email channel for closure/EOD broadcasts</t>
  </si>
  <si>
    <t xml:space="preserve">10.2</t>
  </si>
  <si>
    <t xml:space="preserve">No email gateway integration; only a mock config string 'smtp.sdc.gov.sg'</t>
  </si>
  <si>
    <t xml:space="preserve">Push notification for system notifications/prompts</t>
  </si>
  <si>
    <t xml:space="preserve">In-app notification bell (NotificationContext/NotificationWidget) works</t>
  </si>
  <si>
    <t xml:space="preserve">LocalStorage-only, single-browser-session, not a real push/WebSocket delivery despite a 'Real-time WebSocket Broadcast Server' being described as a mock config item</t>
  </si>
  <si>
    <t xml:space="preserve">10.3 Recipient Group</t>
  </si>
  <si>
    <t xml:space="preserve">Named distribution groups, admin CRUD</t>
  </si>
  <si>
    <t xml:space="preserve">10.3</t>
  </si>
  <si>
    <t xml:space="preserve">src/lib/groups.ts + admin/distribution-groups/page.tsx full CRUD incl. deactivate + audit log</t>
  </si>
  <si>
    <t xml:space="preserve">Persisted in browser localStorage, not server DB - flag for BA/tech lead re multi-user deployment</t>
  </si>
  <si>
    <t xml:space="preserve">Pre-populate recipients by incident type/crisis level at broadcast initiation</t>
  </si>
  <si>
    <t xml:space="preserve">No dispatch flow exists to exercise this; BroadcastRecord.recipients always []</t>
  </si>
  <si>
    <t xml:space="preserve">DM/Controller can add/remove recipients pre-dispatch without altering group config</t>
  </si>
  <si>
    <t xml:space="preserve">No dispatch UI exists</t>
  </si>
  <si>
    <t xml:space="preserve">10.4 Broadcast Templates</t>
  </si>
  <si>
    <t xml:space="preserve">Configurable templates mapped to incident type/crisis level</t>
  </si>
  <si>
    <t xml:space="preserve">10.4</t>
  </si>
  <si>
    <t xml:space="preserve">Built (config only, not consumed)</t>
  </si>
  <si>
    <t xml:space="preserve">admin/broadcast-config/page.tsx Templates tab, CRUD with preview + variable substitution</t>
  </si>
  <si>
    <t xml:space="preserve">Config UI exists but never actually applied at dispatch time</t>
  </si>
  <si>
    <t xml:space="preserve">Default templates exclude sensitive content; explicit confirmation to include more</t>
  </si>
  <si>
    <t xml:space="preserve">No such logic found</t>
  </si>
  <si>
    <t xml:space="preserve">FRD itself flags this content as 'to be confirmed' (see Open Items 15.3)</t>
  </si>
  <si>
    <t xml:space="preserve">10.5 System Notifications</t>
  </si>
  <si>
    <t xml:space="preserve">Task assigned/reassigned -&gt; Assignee</t>
  </si>
  <si>
    <t xml:space="preserve">10.5</t>
  </si>
  <si>
    <t xml:space="preserve">addNotification() calls in cases/[...id]/page.tsx, TaskBoardTab.tsx, tasks/[...id]/page.tsx</t>
  </si>
  <si>
    <t xml:space="preserve">Incident assigned -&gt; Responder notified</t>
  </si>
  <si>
    <t xml:space="preserve">No explicit addNotification call tied to Responder assignment found; only static seed/mock data simulates this</t>
  </si>
  <si>
    <t xml:space="preserve">Responder marks complete -&gt; Controller notified</t>
  </si>
  <si>
    <t xml:space="preserve">No addNotification call found for the notify-complete action</t>
  </si>
  <si>
    <t xml:space="preserve">Controller returns Responder input for amendment -&gt; Responder notified</t>
  </si>
  <si>
    <t xml:space="preserve">No corresponding addNotification call found</t>
  </si>
  <si>
    <t xml:space="preserve">Incident log returned for revision by DM -&gt; Controller notified</t>
  </si>
  <si>
    <t xml:space="preserve">'return' action exists but no addNotification call accompanies it</t>
  </si>
  <si>
    <t xml:space="preserve">NOP status change -&gt; Applicant/approvers notified</t>
  </si>
  <si>
    <t xml:space="preserve">Only present as static seed data; NOP module live-wiring not verified in this pass</t>
  </si>
  <si>
    <t xml:space="preserve">CMMS Fault ID received -&gt; Controller notified</t>
  </si>
  <si>
    <t xml:space="preserve">Only static seed data; no live trigger found in fault-linking code</t>
  </si>
  <si>
    <t xml:space="preserve">Incident active 12/14 days -&gt; Duty Team ageing alerts</t>
  </si>
  <si>
    <t xml:space="preserve">Real client-side computed alerts fire to DM/Controller/DO roles via addNotification</t>
  </si>
  <si>
    <t xml:space="preserve">Only fires while a user has that specific incident's page open in-browser - no server-side scheduled job</t>
  </si>
  <si>
    <t xml:space="preserve">Incident closed -&gt; closure broadcast prompt to Controller</t>
  </si>
  <si>
    <t xml:space="preserve">No addNotification call tied to closureBroadcastStatus==='pending'</t>
  </si>
  <si>
    <t xml:space="preserve">10.6 Broadcast Matrix</t>
  </si>
  <si>
    <t xml:space="preserve">Full broadcast routing matrix (type/crisis level -&gt; group/channel)</t>
  </si>
  <si>
    <t xml:space="preserve">10.6</t>
  </si>
  <si>
    <t xml:space="preserve">FRD itself states '[TBC - Full broadcast matrix]'</t>
  </si>
  <si>
    <t xml:space="preserve">Open item in the FRD itself, not a code gap - a DEFAULT_MATRIX placeholder exists in admin config but is unconfirmed against real requirements</t>
  </si>
  <si>
    <t xml:space="preserve">10.7 EOD Interim Broadcast</t>
  </si>
  <si>
    <t xml:space="preserve">Queue of open incidents flagged; DM reviews per-incident; selects template/confirms dispatch</t>
  </si>
  <si>
    <t xml:space="preserve">10.7</t>
  </si>
  <si>
    <t xml:space="preserve">No such queue/workflow found anywhere</t>
  </si>
  <si>
    <t xml:space="preserve">10.8 SDC Comms Team Notification</t>
  </si>
  <si>
    <t xml:space="preserve">Media confirmed -&gt; prompt DM -&gt; assign Controller -&gt; Controller confirms notification made</t>
  </si>
  <si>
    <t xml:space="preserve">10.8</t>
  </si>
  <si>
    <t xml:space="preserve">incident detail page 'Press/Media present' checkbox triggers a Communications Action banner + confirmation checkbox, logged to incident log</t>
  </si>
  <si>
    <t xml:space="preserve">Simplified vs FRD - no explicit 'DM assigns a Controller' step, any user with edit rights can tick the box</t>
  </si>
  <si>
    <t xml:space="preserve">10.9 Broadcast Record/Export</t>
  </si>
  <si>
    <t xml:space="preserve">Broadcasts logged against Case, identified by Broadcast ID</t>
  </si>
  <si>
    <t xml:space="preserve">10.9</t>
  </si>
  <si>
    <t xml:space="preserve">BroadcastRecord.id format [CaseID]-BC[seq]</t>
  </si>
  <si>
    <t xml:space="preserve">Only Closure Broadcast type is ever actually created; EOD/Weather never populate this</t>
  </si>
  <si>
    <t xml:space="preserve">Record includes recipients/template/content/date-time/sending Controller/status</t>
  </si>
  <si>
    <t xml:space="preserve">BroadcastRecord interface has all fields, populated at creation</t>
  </si>
  <si>
    <t xml:space="preserve">recipients always [], sentAt/status never progress past null/PENDING since dispatch never happens</t>
  </si>
  <si>
    <t xml:space="preserve">Incident shows Broadcast sent status</t>
  </si>
  <si>
    <t xml:space="preserve">closureBroadcastStatus badge shown in incident detail</t>
  </si>
  <si>
    <t xml:space="preserve">Perpetually stuck at 'Pending'</t>
  </si>
  <si>
    <t xml:space="preserve">Delivery counts (sent/delivered/failed/pending) and ack counts</t>
  </si>
  <si>
    <t xml:space="preserve">BroadcastRecord.deliveryAttempts field exists but nothing increments it</t>
  </si>
  <si>
    <t xml:space="preserve">No delivery-channel integration to report real counts</t>
  </si>
  <si>
    <t xml:space="preserve">11.1 Crisis Level</t>
  </si>
  <si>
    <t xml:space="preserve">Incident assigned crisis level 1-5</t>
  </si>
  <si>
    <t xml:space="preserve">11.1</t>
  </si>
  <si>
    <t xml:space="preserve">db.ts crisisLevel: number (default 4), editable dropdown in incident forms</t>
  </si>
  <si>
    <t xml:space="preserve">Level determines broadcast type/delivery channel/recipient group per FRD table</t>
  </si>
  <si>
    <t xml:space="preserve">Field is purely a stored attribute - no code branches broadcast/recall behaviour off crisisLevel value</t>
  </si>
  <si>
    <t xml:space="preserve">A static DEFAULT_MATRIX reference exists in broadcast-config but is never applied at runtime</t>
  </si>
  <si>
    <t xml:space="preserve">Dynamic factors (media/reputational impact/persons involved) influence level</t>
  </si>
  <si>
    <t xml:space="preserve">Built (manual)</t>
  </si>
  <si>
    <t xml:space="preserve">Crisis level is a manual dropdown; mediaInvolvement fields exist separately with no automated linkage into crisisLevel</t>
  </si>
  <si>
    <t xml:space="preserve">FRD only says level 'may be influenced by' - manual selection is a reasonable read; confirm automation expectation with BA</t>
  </si>
  <si>
    <t xml:space="preserve">11.2 Crisis Recall</t>
  </si>
  <si>
    <t xml:space="preserve">Triggered at Level 4+, DM reviews/confirms before dispatch</t>
  </si>
  <si>
    <t xml:space="preserve">11.2</t>
  </si>
  <si>
    <t xml:space="preserve">No crisis-recall trigger/review/confirm workflow found anywhere; grep 'recall' -&gt; zero relevant hits</t>
  </si>
  <si>
    <t xml:space="preserve">Level 4+ recalls specific group; Level &lt;=3 recalls broader SDC stakeholders</t>
  </si>
  <si>
    <t xml:space="preserve">No differentiated recall-group logic exists</t>
  </si>
  <si>
    <t xml:space="preserve">11.3 Delivery Channels</t>
  </si>
  <si>
    <t xml:space="preserve">SMS channel for crisis recall, with acknowledgement</t>
  </si>
  <si>
    <t xml:space="preserve">11.3</t>
  </si>
  <si>
    <t xml:space="preserve">api/sms-mock/route.ts implements a full mock SMS dispatch/ack queue but is never called from any UI or other route</t>
  </si>
  <si>
    <t xml:space="preserve">Ready-made mock backend exists but nothing wires a Crisis Recall UI to it - likely the next planned build increment</t>
  </si>
  <si>
    <t xml:space="preserve">11.4 SMS Recall Workflow</t>
  </si>
  <si>
    <t xml:space="preserve">Generate/queue recall SMS based on classification+group</t>
  </si>
  <si>
    <t xml:space="preserve">11.4</t>
  </si>
  <si>
    <t xml:space="preserve">No caller of /api/sms-mock exists anywhere</t>
  </si>
  <si>
    <t xml:space="preserve">DM reviews/confirms queued message before dispatch</t>
  </si>
  <si>
    <t xml:space="preserve">No such UI</t>
  </si>
  <si>
    <t xml:space="preserve">Surface SMS ack status to DM</t>
  </si>
  <si>
    <t xml:space="preserve">sms-mock GET endpoint could support this in theory but nothing consumes it</t>
  </si>
  <si>
    <t xml:space="preserve">11.5 Recall Groups</t>
  </si>
  <si>
    <t xml:space="preserve">Named recall-group collections, admin CRUD, separate from Broadcast groups</t>
  </si>
  <si>
    <t xml:space="preserve">11.5</t>
  </si>
  <si>
    <t xml:space="preserve">No 'recall group' admin page exists; only distribution-groups (Broadcast) exists, not a distinct Recall Group concept</t>
  </si>
  <si>
    <t xml:space="preserve">OR Analyst manages operational recall group live during active crisis</t>
  </si>
  <si>
    <t xml:space="preserve">No such role-specific operational recall management feature found</t>
  </si>
  <si>
    <t xml:space="preserve">12.1 Operational Statistics</t>
  </si>
  <si>
    <t xml:space="preserve">Dedicated analytics surface: volume trends, status/type/location breakdown, processing time charts</t>
  </si>
  <si>
    <t xml:space="preserve">12.1</t>
  </si>
  <si>
    <t xml:space="preserve">src/app/statistics/page.tsx is a literal placeholder: 'Coming soon - operational metrics, trend analysis, and shift reports'</t>
  </si>
  <si>
    <t xml:space="preserve">Entire module is a stub</t>
  </si>
  <si>
    <t xml:space="preserve">Date range filter with presets (7d/30d/12mo/custom)</t>
  </si>
  <si>
    <t xml:space="preserve">Stub page, no filter controls</t>
  </si>
  <si>
    <t xml:space="preserve">Export from any chart/table - PDF (summaries) / CSV (bulk)</t>
  </si>
  <si>
    <t xml:space="preserve">No PDF/export library in package.json; papaparse/xlsx used only for Events bulk import</t>
  </si>
  <si>
    <t xml:space="preserve">Access/export governed by role; OR Analyst access extends to live+closed records</t>
  </si>
  <si>
    <t xml:space="preserve">N/A - module doesn't exist</t>
  </si>
  <si>
    <t xml:space="preserve">OR Analyst role is only described conceptually in admin/users, no statistics surface to grant access to</t>
  </si>
  <si>
    <t xml:space="preserve">12.2 Incident Report Export</t>
  </si>
  <si>
    <t xml:space="preserve">Export formal incident report as PDF, fields distinct from the entry form</t>
  </si>
  <si>
    <t xml:space="preserve">12.2</t>
  </si>
  <si>
    <t xml:space="preserve">Grepped 'Export' as UI text/action across src/app and src/components - zero matches anywhere</t>
  </si>
  <si>
    <t xml:space="preserve">12.3 Case Summary Export</t>
  </si>
  <si>
    <t xml:space="preserve">Export case summary (PDF/CSV) w/ linked incident, task/status summary, CMMS refs, status history, e-Diary</t>
  </si>
  <si>
    <t xml:space="preserve">12.3</t>
  </si>
  <si>
    <t xml:space="preserve">No export feature found on Case detail page</t>
  </si>
  <si>
    <t xml:space="preserve">12.4 Data Export for Analytics</t>
  </si>
  <si>
    <t xml:space="preserve">Bulk CSV export of incidents/cases/faults/tasks/e-Diary w/ filters (date/status/type/crisis level/location)</t>
  </si>
  <si>
    <t xml:space="preserve">12.4</t>
  </si>
  <si>
    <t xml:space="preserve">No bulk export endpoint or UI found anywhere</t>
  </si>
  <si>
    <t xml:space="preserve">Access governed by role</t>
  </si>
  <si>
    <t xml:space="preserve">N/A - feature doesn't exist</t>
  </si>
  <si>
    <t xml:space="preserve">13.1 User/Role Mgmt</t>
  </si>
  <si>
    <t xml:space="preserve">Create/edit/deactivate/reactivate user accounts</t>
  </si>
  <si>
    <t xml:space="preserve">13.1</t>
  </si>
  <si>
    <t xml:space="preserve">admin/users/page.tsx full CRUD + status toggle, src/lib/users.ts</t>
  </si>
  <si>
    <t xml:space="preserve">Persisted via localStorage, not a server DB - flag for BA/tech lead re production readiness</t>
  </si>
  <si>
    <t xml:space="preserve">Role assignment per Section 3 structure</t>
  </si>
  <si>
    <t xml:space="preserve">admin/users formRole dropdown maps to role list; admin/roles defines role/module matrix</t>
  </si>
  <si>
    <t xml:space="preserve">Default role-based group assignment + per-request exceptions</t>
  </si>
  <si>
    <t xml:space="preserve">Only single-role-per-user model observed; no distinct 'access exception' mechanism separate from editing the role itself</t>
  </si>
  <si>
    <t xml:space="preserve">WOG SSO partial auto-provisioning from AD attributes</t>
  </si>
  <si>
    <t xml:space="preserve">admin/users has a manual 'WOG SSO / Non-SSO' dropdown tag only - no actual SSO/AD integration code</t>
  </si>
  <si>
    <t xml:space="preserve">Manual role assignment for accounts needing more than default</t>
  </si>
  <si>
    <t xml:space="preserve">Same manual CRUD covers this by construction</t>
  </si>
  <si>
    <t xml:space="preserve">13.1(f) DM Elevation Grant</t>
  </si>
  <si>
    <t xml:space="preserve">Grant DM elevation to a named IOH user for a defined shift period</t>
  </si>
  <si>
    <t xml:space="preserve">Sidebar.tsx has only a self-service on/off toggle for the current Duty Officer</t>
  </si>
  <si>
    <t xml:space="preserve">No admin-side 'grant to named user for a defined shift' workflow, no shift-period data model</t>
  </si>
  <si>
    <t xml:space="preserve">13.1(g) Grace Period</t>
  </si>
  <si>
    <t xml:space="preserve">Configure grace period after shift end before elevation auto-removed</t>
  </si>
  <si>
    <t xml:space="preserve">No grace-period config found in admin/system-settings (only Auto-Save Interval and Record Lock Timeout exist there)</t>
  </si>
  <si>
    <t xml:space="preserve">13.2 Reference Data</t>
  </si>
  <si>
    <t xml:space="preserve">Incident Type/Sub-type taxonomy</t>
  </si>
  <si>
    <t xml:space="preserve">13.2</t>
  </si>
  <si>
    <t xml:space="preserve">admin/taxonomy/page.tsx full CRUD w/ audit logging</t>
  </si>
  <si>
    <t xml:space="preserve">Fault Type/Sub-type taxonomy</t>
  </si>
  <si>
    <t xml:space="preserve">Same taxonomy page, Fault tab</t>
  </si>
  <si>
    <t xml:space="preserve">Location hierarchy (Road/Building/Level/Space)</t>
  </si>
  <si>
    <t xml:space="preserve">admin/location-hierarchy/page.tsx</t>
  </si>
  <si>
    <t xml:space="preserve">Task priority levels</t>
  </si>
  <si>
    <t xml:space="preserve">Taxonomy Priority tab, consumed via getTaskPriorityTaxonomy() in task-templates</t>
  </si>
  <si>
    <t xml:space="preserve">e-Diary Type/Sub-type taxonomy</t>
  </si>
  <si>
    <t xml:space="preserve">Taxonomy eDiary tab exists</t>
  </si>
  <si>
    <t xml:space="preserve">Actual e-Diary create form uses a separate hard-coded TOPICS array, not this taxonomy config - a disconnect between admin config and the live form</t>
  </si>
  <si>
    <t xml:space="preserve">Auto-save interval config (Sys Admin Configure / Current Ops View-only)</t>
  </si>
  <si>
    <t xml:space="preserve">admin/system-settings configurable</t>
  </si>
  <si>
    <t xml:space="preserve">No role-based Configure-vs-View-only distinction implemented - any admin visitor can edit</t>
  </si>
  <si>
    <t xml:space="preserve">Record lock timeout config</t>
  </si>
  <si>
    <t xml:space="preserve">Same page, same caveat</t>
  </si>
  <si>
    <t xml:space="preserve">No Current-Ops-Admin view-only restriction coded</t>
  </si>
  <si>
    <t xml:space="preserve">Task checklist templates</t>
  </si>
  <si>
    <t xml:space="preserve">admin/task-templates/page.tsx + src/lib/checklistTemplates.ts</t>
  </si>
  <si>
    <t xml:space="preserve">Action prompt rules (trigger conditions, recipient roles, prompt text) configurable</t>
  </si>
  <si>
    <t xml:space="preserve">No admin config page/data model for notification/prompt trigger rules - all thresholds (12/14 days, 45 min) are hard-coded in page logic</t>
  </si>
  <si>
    <t xml:space="preserve">DM elevation grace period config</t>
  </si>
  <si>
    <t xml:space="preserve">Confirmed absent (duplicate of 13.1(g))</t>
  </si>
  <si>
    <t xml:space="preserve">13.3 Broadcast Config</t>
  </si>
  <si>
    <t xml:space="preserve">Distribution groups CRUD</t>
  </si>
  <si>
    <t xml:space="preserve">13.3</t>
  </si>
  <si>
    <t xml:space="preserve">admin/distribution-groups/page.tsx</t>
  </si>
  <si>
    <t xml:space="preserve">Broadcast routing matrix (type/subtype/crisis level -&gt; group/channel)</t>
  </si>
  <si>
    <t xml:space="preserve">admin/broadcast-config Matrix tab, DEFAULT_MATRIX</t>
  </si>
  <si>
    <t xml:space="preserve">Never consumed at runtime - no dispatch flow reads this matrix</t>
  </si>
  <si>
    <t xml:space="preserve">Broadcast templates (default field sets by type/subtype/crisis level)</t>
  </si>
  <si>
    <t xml:space="preserve">admin/broadcast-config Templates tab</t>
  </si>
  <si>
    <t xml:space="preserve">Not consumed at dispatch time</t>
  </si>
  <si>
    <t xml:space="preserve">End-of-day broadcast timing config</t>
  </si>
  <si>
    <t xml:space="preserve">No 'end-of-day'/EOD timing setting found (only the template category name exists)</t>
  </si>
  <si>
    <t xml:space="preserve">Broadcast action prompt rules</t>
  </si>
  <si>
    <t xml:space="preserve">No such config found</t>
  </si>
  <si>
    <t xml:space="preserve">13.4 Recall Config</t>
  </si>
  <si>
    <t xml:space="preserve">Recall groups/members CRUD</t>
  </si>
  <si>
    <t xml:space="preserve">13.4</t>
  </si>
  <si>
    <t xml:space="preserve">No /admin/recall-groups or equivalent page exists</t>
  </si>
  <si>
    <t xml:space="preserve">Recall routing rules</t>
  </si>
  <si>
    <t xml:space="preserve">None found</t>
  </si>
  <si>
    <t xml:space="preserve">Recall message templates</t>
  </si>
  <si>
    <t xml:space="preserve">Recall messaging service (SMS gateway) settings</t>
  </si>
  <si>
    <t xml:space="preserve">sms-mock is a static in-memory mock with no configurable connection settings; no admin UI for gateway config</t>
  </si>
  <si>
    <t xml:space="preserve">Recall acknowledgement/escalation rules</t>
  </si>
  <si>
    <t xml:space="preserve">13.5 Audit Log</t>
  </si>
  <si>
    <t xml:space="preserve">All user actions/config changes/system events captured automatically</t>
  </si>
  <si>
    <t xml:space="preserve">13.5</t>
  </si>
  <si>
    <t xml:space="preserve">api/admin/audit/route.ts works, wired into: broadcast-config, distribution-groups, location-hierarchy, roles, routing-matrix, system-settings, task-templates, taxonomy, users</t>
  </si>
  <si>
    <t xml:space="preserve">NOT wired into any operational action: incident creation/closure, case creation, task assignment, NOP approval, fault ticket creation, e-Diary creation, role elevation grant - significant coverage gap vs 'all user actions'</t>
  </si>
  <si>
    <t xml:space="preserve">Accessible to Sys Admin and Current Ops Admin only</t>
  </si>
  <si>
    <t xml:space="preserve">admin/audit-log/page.tsx wrapped in AdminGuard</t>
  </si>
  <si>
    <t xml:space="preserve">Did not verify AdminGuard's exact role list restricts to only these two roles vs broader admin access - recommend explicit check</t>
  </si>
  <si>
    <t xml:space="preserve">Filter by user, action type, date, record reference</t>
  </si>
  <si>
    <t xml:space="preserve">audit-log/page.tsx has start/end date, user, module, action filters</t>
  </si>
  <si>
    <t xml:space="preserve">'Record reference' filter (by Incident/Case ID specifically) not clearly present</t>
  </si>
  <si>
    <t xml:space="preserve">Immutable, retained per data retention policy</t>
  </si>
  <si>
    <t xml:space="preserve">api/admin/audit only exposes GET/POST (no PATCH/DELETE) - structurally immutable via API surface</t>
  </si>
  <si>
    <t xml:space="preserve">No explicit data-retention/archival policy implementation (duration, purge job) - likely deferred to NFR 14.7</t>
  </si>
  <si>
    <t xml:space="preserve">13.5(e) Audit Log</t>
  </si>
  <si>
    <t xml:space="preserve">Record DM elevation grant/expiry/removal, endorsement submit/resubmit/override reason, DM return reason, closure endorsement events</t>
  </si>
  <si>
    <t xml:space="preserve">None of these event types are ever posted to /api/admin/audit; elevation toggle has zero audit trail; incident close/return/endorsement actions only write to the incident's own log array, never the system Audit Log</t>
  </si>
  <si>
    <t xml:space="preserve">Most concrete FRD-cited gap in this section - the exact events FRD calls mandatory are absent from the audit trail</t>
  </si>
  <si>
    <t xml:space="preserve">14.1 Availability</t>
  </si>
  <si>
    <t xml:space="preserve">Availability targets/SLA</t>
  </si>
  <si>
    <t xml:space="preserve">14.1</t>
  </si>
  <si>
    <t xml:space="preserve">FRD page 79 shows only the section heading, zero body content before jumping to Section 15</t>
  </si>
  <si>
    <t xml:space="preserve">ENTIRE NFR SECTION IS BLANK IN THE SOURCE FRD - authoring gap, not a code gap. Needs BA to author content before any Built/Not-Built verdict is possible</t>
  </si>
  <si>
    <t xml:space="preserve">14.2 Performance</t>
  </si>
  <si>
    <t xml:space="preserve">Performance targets (response time, throughput)</t>
  </si>
  <si>
    <t xml:space="preserve">14.2</t>
  </si>
  <si>
    <t xml:space="preserve">Same - no FRD content</t>
  </si>
  <si>
    <t xml:space="preserve">14.3 Concurrent Users</t>
  </si>
  <si>
    <t xml:space="preserve">Concurrent user targets</t>
  </si>
  <si>
    <t xml:space="preserve">14.3</t>
  </si>
  <si>
    <t xml:space="preserve">14.4 Security</t>
  </si>
  <si>
    <t xml:space="preserve">Security requirements</t>
  </si>
  <si>
    <t xml:space="preserve">14.4</t>
  </si>
  <si>
    <t xml:space="preserve">Same - no FRD content. For reference: no rate limiting, CSRF tokens, or input-sanitization middleware found in any API route</t>
  </si>
  <si>
    <t xml:space="preserve">14.5 Session Management</t>
  </si>
  <si>
    <t xml:space="preserve">Session timeout / idle logout</t>
  </si>
  <si>
    <t xml:space="preserve">14.5</t>
  </si>
  <si>
    <t xml:space="preserve">grep 'session.*timeout' -&gt; zero matches; consistent with no real auth session existing at all</t>
  </si>
  <si>
    <t xml:space="preserve">No FRD spec exists to hold this to, but noting as functionally absent</t>
  </si>
  <si>
    <t xml:space="preserve">14.6 Audit and Compliance</t>
  </si>
  <si>
    <t xml:space="preserve">Audit/compliance requirements</t>
  </si>
  <si>
    <t xml:space="preserve">14.6</t>
  </si>
  <si>
    <t xml:space="preserve">Built (informational)</t>
  </si>
  <si>
    <t xml:space="preserve">api/admin/audit + admin/audit-log/page.tsx + AuditLog model capture user/action/module/details/before-after snapshot/correlationId/IP</t>
  </si>
  <si>
    <t xml:space="preserve">No FRD text to measure against; this verdict is against the internal Audit_Log_Types_Definition.md planning doc, not the FRD itself - confirm coverage is what's wanted</t>
  </si>
  <si>
    <t xml:space="preserve">14.7 Data Retention and Archival</t>
  </si>
  <si>
    <t xml:space="preserve">Retention/archival policy</t>
  </si>
  <si>
    <t xml:space="preserve">14.7</t>
  </si>
  <si>
    <t xml:space="preserve">Same - no FRD content; no archival/purge job found (the cron/generate route only generates recurring task occurrences)</t>
  </si>
  <si>
    <t xml:space="preserve">Open Item</t>
  </si>
  <si>
    <t xml:space="preserve">FRD Ref</t>
  </si>
  <si>
    <t xml:space="preserve">Why It's Open</t>
  </si>
  <si>
    <t xml:space="preserve">Suggested Question for Shinfeng</t>
  </si>
  <si>
    <t xml:space="preserve">Resolved?</t>
  </si>
  <si>
    <t xml:space="preserve">FRD's own explicitly-flagged Open Items (Section 15)</t>
  </si>
  <si>
    <t xml:space="preserve">UCS</t>
  </si>
  <si>
    <t xml:space="preserve">Full list of CMS widgets/items to be embedded on the UCS dashboard is still under discussion with SDC.</t>
  </si>
  <si>
    <t xml:space="preserve">15.1</t>
  </si>
  <si>
    <t xml:space="preserve">Explicitly marked open in FRD itself</t>
  </si>
  <si>
    <t xml:space="preserve">What is the final/confirmed list of CMS widgets to embed on the UCS Dashboard?</t>
  </si>
  <si>
    <t xml:space="preserve">Incident</t>
  </si>
  <si>
    <t xml:space="preserve">Finalised Incident Type and Sub-type taxonomy to be confirmed.</t>
  </si>
  <si>
    <t xml:space="preserve">15.2</t>
  </si>
  <si>
    <t xml:space="preserve">Explicitly marked open in FRD itself; Appendix 16.1 lists a taxonomy but FRD flags it as provisional</t>
  </si>
  <si>
    <t xml:space="preserve">Is the Appendix 16.1 Incident Type/Sub-type list final, or are further changes expected?</t>
  </si>
  <si>
    <t xml:space="preserve">Broadcast</t>
  </si>
  <si>
    <t xml:space="preserve">Broadcast template content per incident type and crisis level to be confirmed.</t>
  </si>
  <si>
    <t xml:space="preserve">15.3</t>
  </si>
  <si>
    <t xml:space="preserve">What is the final broadcast template content per incident type / crisis level combination?</t>
  </si>
  <si>
    <t xml:space="preserve">Broadcast timing rules and criteria governing which active incidents are surfaced in the interim broadcast queue are to be determined.</t>
  </si>
  <si>
    <t xml:space="preserve">What are the timing rules/criteria for the End-of-Day Interim Broadcast queue?</t>
  </si>
  <si>
    <t xml:space="preserve">Broadcast Matrix referenced as an open item.</t>
  </si>
  <si>
    <t xml:space="preserve">15.3 / 10.6</t>
  </si>
  <si>
    <t xml:space="preserve">FRD body text itself says '[TBC - Full broadcast matrix]'</t>
  </si>
  <si>
    <t xml:space="preserve">Please provide the finalised Broadcast Matrix (type/crisis level -&gt; recipient group/channel).</t>
  </si>
  <si>
    <t xml:space="preserve">Central Rostering Module</t>
  </si>
  <si>
    <t xml:space="preserve">Proposed module for managing duty rosters (IOH staff, Rangers, contractors, on-duty personnel); scope, ownership, data input method, user groups, source of truth, and CMS notification integration all remain to be confirmed.</t>
  </si>
  <si>
    <t xml:space="preserve">15.4</t>
  </si>
  <si>
    <t xml:space="preserve">Explicitly marked open/proposed in FRD itself</t>
  </si>
  <si>
    <t xml:space="preserve">Is Central Rostering in scope for this phase? If so, what is the ownership/data model/integration approach?</t>
  </si>
  <si>
    <t xml:space="preserve">Additional items found during code review that also need Shinfeng's confirmation</t>
  </si>
  <si>
    <t xml:space="preserve">Roles &amp; Permissions</t>
  </si>
  <si>
    <t xml:space="preserve">FRD section 3.3.4 'Events Management' role/status action matrix heading exists but the table itself is blank in the source PDF (jumps straight from heading to section 3.4).</t>
  </si>
  <si>
    <t xml:space="preserve">FRD authoring gap - no table to build against</t>
  </si>
  <si>
    <t xml:space="preserve">Please provide the full Events Management role/status action matrix (who can create/edit/approve/delete Events by role and status).</t>
  </si>
  <si>
    <t xml:space="preserve">Non-Functional Requirements</t>
  </si>
  <si>
    <t xml:space="preserve">Entire Section 14 (Availability, Performance, Concurrent Users, Security, Session Management, Audit/Compliance, Data Retention) contains only headings with zero body content.</t>
  </si>
  <si>
    <t xml:space="preserve">14.1-14.7</t>
  </si>
  <si>
    <t xml:space="preserve">FRD authoring gap - no NFR requirements documented anywhere</t>
  </si>
  <si>
    <t xml:space="preserve">Please author the actual NFR targets/requirements for 14.1 through 14.7 (or confirm which existing document supersedes this section).</t>
  </si>
  <si>
    <t xml:space="preserve">Incident Closure</t>
  </si>
  <si>
    <t xml:space="preserve">Section 5.10.1(h)/(i) separation-of-duties rule (DM cannot endorse closure of an incident they created/submitted/resubmitted themselves, even while elevated) is not implemented in code at all.</t>
  </si>
  <si>
    <t xml:space="preserve">High-priority compliance control gap, not a spec ambiguity - flagging for BA awareness/prioritisation</t>
  </si>
  <si>
    <t xml:space="preserve">Confirm priority/timeline for building the separation-of-duties enforcement, and whether 'actor identity' should be tracked via a new submittedBy/resubmittedBy field.</t>
  </si>
  <si>
    <t xml:space="preserve">e-Diary</t>
  </si>
  <si>
    <t xml:space="preserve">Code makes e-Diary entries fully immutable (no edit, no delete for any role, citing an internal comment referencing 'FRD Section 8.2'), which is the OPPOSITE of FRD 9.1(c) which requires entries to be editable with tracked amendments and deletion restricted to System Administrator only.</t>
  </si>
  <si>
    <t xml:space="preserve">9.1(c)</t>
  </si>
  <si>
    <t xml:space="preserve">Direct contradiction between current code behaviour and FRD text - needs explicit resolution</t>
  </si>
  <si>
    <t xml:space="preserve">Confirm the intended e-Diary mutability model: should entries be editable with amendment tracking (per FRD 9.1c), or permanently immutable (per current code)?</t>
  </si>
  <si>
    <t xml:space="preserve">No Controller-facing compose/confirm/dispatch UI exists anywhere - Closure Broadcasts auto-queue to 'Pending' status on incident close but can never actually be dispatched through the app. /broadcasts page is a literal 'Coming soon' stub.</t>
  </si>
  <si>
    <t xml:space="preserve">5.11.1 / 10.1 / 10.9</t>
  </si>
  <si>
    <t xml:space="preserve">Core Broadcast dispatch workflow appears entirely unbuilt despite supporting config/data-model pieces existing</t>
  </si>
  <si>
    <t xml:space="preserve">Confirm Broadcast dispatch (compose/review/send) is planned for a specific upcoming phase, and get prioritisation relative to other gaps.</t>
  </si>
  <si>
    <t xml:space="preserve">Crisis Management</t>
  </si>
  <si>
    <t xml:space="preserve">Crisis Recall (entire Section 11) is essentially unbuilt - an orphaned SMS mock endpoint exists but nothing calls it; no Recall Groups, no recall routing/config, no DM review-and-confirm workflow.</t>
  </si>
  <si>
    <t xml:space="preserve">11.1-11.5</t>
  </si>
  <si>
    <t xml:space="preserve">Entire module absent - confirm scope/priority for this phase</t>
  </si>
  <si>
    <t xml:space="preserve">Is Crisis Recall in scope for the current build phase? If so, what SMS gateway/provider should the mock be replaced with?</t>
  </si>
  <si>
    <t xml:space="preserve">Reporting &amp; Data Export</t>
  </si>
  <si>
    <t xml:space="preserve">Entire Section 12 (Operational Statistics, Incident/Case export, Analytics export) is unbuilt - /statistics is a 'Coming soon' stub and there is no PDF/CSV export feature anywhere in the app.</t>
  </si>
  <si>
    <t xml:space="preserve">12.1-12.4</t>
  </si>
  <si>
    <t xml:space="preserve">Confirm priority/timeline for Reporting &amp; Data Export, and whether PDF export or CSV-only is the minimum viable requirement.</t>
  </si>
  <si>
    <t xml:space="preserve">Authentication</t>
  </si>
  <si>
    <t xml:space="preserve">No real authentication exists - RoleContext is a client-side, localStorage-persisted role switcher usable by anyone with the URL. WOG SSO, 2FA, and access-denial for unauthorised accounts are entirely unbuilt.</t>
  </si>
  <si>
    <t xml:space="preserve">Foundational security gap - confirm this is accepted as a prototype-phase limitation</t>
  </si>
  <si>
    <t xml:space="preserve">Confirm whether WOG SSO integration is planned before go-live, and what the target timeline/owner is (likely an infra/platform-team dependency, not pure CMS-team scope).</t>
  </si>
  <si>
    <t xml:space="preserve">Dashboard / Map</t>
  </si>
  <si>
    <t xml:space="preserve">'2D Island Map' runs on Leaflet + OpenStreetMap/CartoDB tiles, not OneMap as specified; only a cosmetic UI label says 'OneMap API Layout'. No geocoding, no Faults layer, no NOP boundary layer, no pin clustering.</t>
  </si>
  <si>
    <t xml:space="preserve">Named integration (OneMap) does not exist in code at all - a material gap from the named requirement</t>
  </si>
  <si>
    <t xml:space="preserve">Confirm whether OneMap API integration (incl. geocoding) is still required, or whether the current OSM/Leaflet map is an accepted substitute.</t>
  </si>
  <si>
    <t xml:space="preserve">The Admin &gt; Roles permission matrix (admin/roles/page.tsx) is a fully built, nice-looking UI but is not read by any other part of the app - actual permission gating elsewhere is hardcoded per-page. Editing the matrix has no functional effect.</t>
  </si>
  <si>
    <t xml:space="preserve">3.1 / 3.3</t>
  </si>
  <si>
    <t xml:space="preserve">Risk that stakeholders believe editing this screen changes real permissions when it does not</t>
  </si>
  <si>
    <t xml:space="preserve">Confirm whether wiring the Roles matrix into live permission checks is planned, or whether hardcoded per-page gating is the accepted long-term approach.</t>
  </si>
  <si>
    <t xml:space="preserve">Duty Manager Elevation</t>
  </si>
  <si>
    <t xml:space="preserve">Section 3.2 elevation model (admin-granted, shift-boxed, grace-period auto-expiring, applies to Controller too per v0.5) is not implemented - only a self-service, non-persisted Duty-Officer-only toggle exists in the sidebar.</t>
  </si>
  <si>
    <t xml:space="preserve">Large v0.4-&gt;v0.5 behavioural change with zero implementation and no data model</t>
  </si>
  <si>
    <t xml:space="preserve">Confirm priority/timeline for building the full Duty Manager Elevation workflow (admin grant, shift dates, grace period, Controller eligibility).</t>
  </si>
  <si>
    <t xml:space="preserve">Missing Roles</t>
  </si>
  <si>
    <t xml:space="preserve">Zone/Contract Manager (Non-IFM), NOP Applicant (SDC Term-Contractor), and NOP Approver (SDC Term-Contractor) roles from FRD 3.1 do not exist anywhere in the switchable role model.</t>
  </si>
  <si>
    <t xml:space="preserve">Roles referenced in FRD's own role table have no corresponding code representation</t>
  </si>
  <si>
    <t xml:space="preserve">Confirm whether these 3 roles are still required for the current build phase, and their exact permission scope.</t>
  </si>
  <si>
    <t xml:space="preserve">Data Persistence</t>
  </si>
  <si>
    <t xml:space="preserve">Several admin config surfaces (Users, Roles, Distribution Groups, Broadcast Config/Matrix/Templates, Taxonomy) persist to browser localStorage rather than a shared server database - changes don't propagate across users/sessions.</t>
  </si>
  <si>
    <t xml:space="preserve">13.1-13.4 (cross-cutting)</t>
  </si>
  <si>
    <t xml:space="preserve">Material architecture gap for any real multi-admin/production deployment</t>
  </si>
  <si>
    <t xml:space="preserve">Confirm whether backend/shared-DB persistence for admin configuration is planned before go-live, and get it prioritised/sequenced with the tech lead.</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</si>
</sst>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b val="true"/>
      <sz val="10"/>
      <color rgb="FF006100"/>
      <name val="Arial"/>
      <family val="0"/>
      <charset val="1"/>
    </font>
    <font>
      <b val="true"/>
      <sz val="10"/>
      <color rgb="FF9C0006"/>
      <name val="Arial"/>
      <family val="0"/>
      <charset val="1"/>
    </font>
    <font>
      <b val="true"/>
      <sz val="10"/>
      <color rgb="FF9C6500"/>
      <name val="Arial"/>
      <family val="0"/>
      <charset val="1"/>
    </font>
    <font>
      <b val="true"/>
      <sz val="10"/>
      <color rgb="FF1F4E78"/>
      <name val="Arial"/>
      <family val="0"/>
      <charset val="1"/>
    </font>
    <font>
      <b val="true"/>
      <sz val="10"/>
      <color rgb="FF595959"/>
      <name val="Arial"/>
      <family val="0"/>
      <charset val="1"/>
    </font>
    <font>
      <b val="true"/>
      <sz val="11"/>
      <color rgb="FF1F3864"/>
      <name val="Arial"/>
      <family val="0"/>
      <charset val="1"/>
    </font>
  </fonts>
  <fills count="8">
    <fill>
      <patternFill patternType="none"/>
    </fill>
    <fill>
      <patternFill patternType="gray125"/>
    </fill>
    <fill>
      <patternFill patternType="solid">
        <fgColor rgb="FF1F3864"/>
        <bgColor rgb="FF1F4E78"/>
      </patternFill>
    </fill>
    <fill>
      <patternFill patternType="solid">
        <fgColor rgb="FFC6EFCE"/>
        <bgColor rgb="FFDDEBF7"/>
      </patternFill>
    </fill>
    <fill>
      <patternFill patternType="solid">
        <fgColor rgb="FFFFC7CE"/>
        <bgColor rgb="FFD9D9D9"/>
      </patternFill>
    </fill>
    <fill>
      <patternFill patternType="solid">
        <fgColor rgb="FFFFEB9C"/>
        <bgColor rgb="FFFFFFCC"/>
      </patternFill>
    </fill>
    <fill>
      <patternFill patternType="solid">
        <fgColor rgb="FFDDEBF7"/>
        <bgColor rgb="FFD9D9D9"/>
      </patternFill>
    </fill>
    <fill>
      <patternFill patternType="solid">
        <fgColor rgb="FFD9D9D9"/>
        <bgColor rgb="FFDDEBF7"/>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1F4E78"/>
          <bgColor rgb="FF000000"/>
        </patternFill>
      </fill>
    </dxf>
    <dxf>
      <fill>
        <patternFill patternType="solid">
          <fgColor rgb="FF595959"/>
          <bgColor rgb="FF000000"/>
        </patternFill>
      </fill>
    </dxf>
    <dxf>
      <fill>
        <patternFill patternType="solid">
          <fgColor rgb="FF9C0006"/>
          <bgColor rgb="FF000000"/>
        </patternFill>
      </fill>
    </dxf>
    <dxf>
      <fill>
        <patternFill patternType="solid">
          <fgColor rgb="FF9C6500"/>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35.05" hidden="false" customHeight="false" outlineLevel="0" collapsed="false">
      <c r="B6" s="4" t="s">
        <v>3</v>
      </c>
    </row>
    <row r="7" customFormat="false" ht="15" hidden="false" customHeight="false" outlineLevel="0" collapsed="false">
      <c r="B7" s="4"/>
    </row>
    <row r="8" customFormat="false" ht="15" hidden="false" customHeight="false" outlineLevel="0" collapsed="false">
      <c r="B8" s="3" t="s">
        <v>4</v>
      </c>
    </row>
    <row r="9" customFormat="false" ht="23.85" hidden="false" customHeight="false" outlineLevel="0" collapsed="false">
      <c r="B9" s="4" t="s">
        <v>5</v>
      </c>
    </row>
    <row r="10" customFormat="false" ht="35.05" hidden="false" customHeight="false" outlineLevel="0" collapsed="false">
      <c r="B10" s="4" t="s">
        <v>6</v>
      </c>
    </row>
    <row r="11" customFormat="false" ht="15" hidden="false" customHeight="false" outlineLevel="0" collapsed="false">
      <c r="B11" s="4" t="s">
        <v>7</v>
      </c>
    </row>
    <row r="12" customFormat="false" ht="15" hidden="false" customHeight="false" outlineLevel="0" collapsed="false">
      <c r="B12" s="4"/>
    </row>
    <row r="13" customFormat="false" ht="15" hidden="false" customHeight="false" outlineLevel="0" collapsed="false">
      <c r="B13" s="3" t="s">
        <v>8</v>
      </c>
    </row>
    <row r="14" customFormat="false" ht="15" hidden="false" customHeight="false" outlineLevel="0" collapsed="false">
      <c r="B14" s="4" t="s">
        <v>9</v>
      </c>
    </row>
    <row r="15" customFormat="false" ht="15" hidden="false" customHeight="false" outlineLevel="0" collapsed="false">
      <c r="B15" s="4" t="s">
        <v>10</v>
      </c>
    </row>
    <row r="16" customFormat="false" ht="15" hidden="false" customHeight="false" outlineLevel="0" collapsed="false">
      <c r="B16" s="4" t="s">
        <v>11</v>
      </c>
    </row>
    <row r="17" customFormat="false" ht="15" hidden="false" customHeight="false" outlineLevel="0" collapsed="false">
      <c r="B17" s="4" t="s">
        <v>12</v>
      </c>
    </row>
    <row r="18" customFormat="false" ht="15" hidden="false" customHeight="false" outlineLevel="0" collapsed="false">
      <c r="B18" s="4"/>
    </row>
    <row r="19" customFormat="false" ht="15" hidden="false" customHeight="false" outlineLevel="0" collapsed="false">
      <c r="B19" s="3" t="s">
        <v>13</v>
      </c>
    </row>
    <row r="20" customFormat="false" ht="35.05" hidden="false" customHeight="false" outlineLevel="0" collapsed="false">
      <c r="B20" s="4" t="s">
        <v>14</v>
      </c>
    </row>
    <row r="21" customFormat="false" ht="23.85" hidden="false" customHeight="false" outlineLevel="0" collapsed="false">
      <c r="B21" s="4" t="s">
        <v>15</v>
      </c>
    </row>
    <row r="22" customFormat="false" ht="35.05" hidden="false" customHeight="false" outlineLevel="0" collapsed="false">
      <c r="B22" s="4" t="s">
        <v>16</v>
      </c>
    </row>
    <row r="24" customFormat="false" ht="15" hidden="false" customHeight="false" outlineLevel="0" collapsed="false">
      <c r="B24" s="2" t="s">
        <v>17</v>
      </c>
    </row>
    <row r="25" customFormat="false" ht="15" hidden="false" customHeight="false" outlineLevel="0" collapsed="false">
      <c r="B25"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7" min="2" style="0" width="16"/>
  </cols>
  <sheetData>
    <row r="1" customFormat="false" ht="19.7" hidden="false" customHeight="false" outlineLevel="0" collapsed="false">
      <c r="A1" s="5" t="s">
        <v>19</v>
      </c>
      <c r="B1" s="5"/>
      <c r="C1" s="5"/>
      <c r="D1" s="5"/>
      <c r="E1" s="5"/>
      <c r="F1" s="5"/>
      <c r="G1" s="5"/>
    </row>
    <row r="3" customFormat="false" ht="27.75" hidden="false" customHeight="true" outlineLevel="0" collapsed="false">
      <c r="A3" s="6" t="s">
        <v>20</v>
      </c>
      <c r="B3" s="6" t="s">
        <v>21</v>
      </c>
      <c r="C3" s="6" t="s">
        <v>22</v>
      </c>
      <c r="D3" s="6" t="s">
        <v>23</v>
      </c>
      <c r="E3" s="6" t="s">
        <v>24</v>
      </c>
      <c r="F3" s="6" t="s">
        <v>25</v>
      </c>
      <c r="G3" s="6" t="s">
        <v>26</v>
      </c>
    </row>
    <row r="4" customFormat="false" ht="15" hidden="false" customHeight="false" outlineLevel="0" collapsed="false">
      <c r="A4" s="7" t="s">
        <v>27</v>
      </c>
      <c r="B4" s="8" t="n">
        <f aca="false">COUNTIFS('Feature Checklist'!$B:$B,$A4,'Feature Checklist'!$F:$F,"Built")+COUNTIFS('Feature Checklist'!$B:$B,$A4,'Feature Checklist'!$F:$F,"Built (config only, not consumed)")+COUNTIFS('Feature Checklist'!$B:$B,$A4,'Feature Checklist'!$F:$F,"Built (manual)")+COUNTIFS('Feature Checklist'!$B:$B,$A4,'Feature Checklist'!$F:$F,"Built (informational)")</f>
        <v>5</v>
      </c>
      <c r="C4" s="8" t="n">
        <f aca="false">COUNTIFS('Feature Checklist'!$B:$B,$A4,'Feature Checklist'!$F:$F,"Partially Built")</f>
        <v>4</v>
      </c>
      <c r="D4" s="8" t="n">
        <f aca="false">COUNTIFS('Feature Checklist'!$B:$B,$A4,'Feature Checklist'!$F:$F,"Not Built")</f>
        <v>9</v>
      </c>
      <c r="E4" s="8" t="n">
        <f aca="false">COUNTIFS('Feature Checklist'!$B:$B,$A4,'Feature Checklist'!$F:$F,"N/A (excluded by design)")</f>
        <v>0</v>
      </c>
      <c r="F4" s="8" t="n">
        <f aca="false">COUNTIFS('Feature Checklist'!$B:$B,$A4,'Feature Checklist'!$F:$F,"Unclear / Needs BA Confirmation")</f>
        <v>0</v>
      </c>
      <c r="G4" s="7" t="n">
        <f aca="false">SUM(B4:F4)</f>
        <v>18</v>
      </c>
    </row>
    <row r="5" customFormat="false" ht="15" hidden="false" customHeight="false" outlineLevel="0" collapsed="false">
      <c r="A5" s="7" t="s">
        <v>28</v>
      </c>
      <c r="B5" s="8" t="n">
        <f aca="false">COUNTIFS('Feature Checklist'!$B:$B,$A5,'Feature Checklist'!$F:$F,"Built")+COUNTIFS('Feature Checklist'!$B:$B,$A5,'Feature Checklist'!$F:$F,"Built (config only, not consumed)")+COUNTIFS('Feature Checklist'!$B:$B,$A5,'Feature Checklist'!$F:$F,"Built (manual)")+COUNTIFS('Feature Checklist'!$B:$B,$A5,'Feature Checklist'!$F:$F,"Built (informational)")</f>
        <v>0</v>
      </c>
      <c r="C5" s="8" t="n">
        <f aca="false">COUNTIFS('Feature Checklist'!$B:$B,$A5,'Feature Checklist'!$F:$F,"Partially Built")</f>
        <v>1</v>
      </c>
      <c r="D5" s="8" t="n">
        <f aca="false">COUNTIFS('Feature Checklist'!$B:$B,$A5,'Feature Checklist'!$F:$F,"Not Built")</f>
        <v>7</v>
      </c>
      <c r="E5" s="8" t="n">
        <f aca="false">COUNTIFS('Feature Checklist'!$B:$B,$A5,'Feature Checklist'!$F:$F,"N/A (excluded by design)")</f>
        <v>0</v>
      </c>
      <c r="F5" s="8" t="n">
        <f aca="false">COUNTIFS('Feature Checklist'!$B:$B,$A5,'Feature Checklist'!$F:$F,"Unclear / Needs BA Confirmation")</f>
        <v>0</v>
      </c>
      <c r="G5" s="7" t="n">
        <f aca="false">SUM(B5:F5)</f>
        <v>8</v>
      </c>
    </row>
    <row r="6" customFormat="false" ht="15" hidden="false" customHeight="false" outlineLevel="0" collapsed="false">
      <c r="A6" s="7" t="s">
        <v>29</v>
      </c>
      <c r="B6" s="8" t="n">
        <f aca="false">COUNTIFS('Feature Checklist'!$B:$B,$A6,'Feature Checklist'!$F:$F,"Built")+COUNTIFS('Feature Checklist'!$B:$B,$A6,'Feature Checklist'!$F:$F,"Built (config only, not consumed)")+COUNTIFS('Feature Checklist'!$B:$B,$A6,'Feature Checklist'!$F:$F,"Built (manual)")+COUNTIFS('Feature Checklist'!$B:$B,$A6,'Feature Checklist'!$F:$F,"Built (informational)")</f>
        <v>6</v>
      </c>
      <c r="C6" s="8" t="n">
        <f aca="false">COUNTIFS('Feature Checklist'!$B:$B,$A6,'Feature Checklist'!$F:$F,"Partially Built")</f>
        <v>4</v>
      </c>
      <c r="D6" s="8" t="n">
        <f aca="false">COUNTIFS('Feature Checklist'!$B:$B,$A6,'Feature Checklist'!$F:$F,"Not Built")</f>
        <v>6</v>
      </c>
      <c r="E6" s="8" t="n">
        <f aca="false">COUNTIFS('Feature Checklist'!$B:$B,$A6,'Feature Checklist'!$F:$F,"N/A (excluded by design)")</f>
        <v>0</v>
      </c>
      <c r="F6" s="8" t="n">
        <f aca="false">COUNTIFS('Feature Checklist'!$B:$B,$A6,'Feature Checklist'!$F:$F,"Unclear / Needs BA Confirmation")</f>
        <v>2</v>
      </c>
      <c r="G6" s="7" t="n">
        <f aca="false">SUM(B6:F6)</f>
        <v>18</v>
      </c>
    </row>
    <row r="7" customFormat="false" ht="15" hidden="false" customHeight="false" outlineLevel="0" collapsed="false">
      <c r="A7" s="7" t="s">
        <v>30</v>
      </c>
      <c r="B7" s="8" t="n">
        <f aca="false">COUNTIFS('Feature Checklist'!$B:$B,$A7,'Feature Checklist'!$F:$F,"Built")+COUNTIFS('Feature Checklist'!$B:$B,$A7,'Feature Checklist'!$F:$F,"Built (config only, not consumed)")+COUNTIFS('Feature Checklist'!$B:$B,$A7,'Feature Checklist'!$F:$F,"Built (manual)")+COUNTIFS('Feature Checklist'!$B:$B,$A7,'Feature Checklist'!$F:$F,"Built (informational)")</f>
        <v>7</v>
      </c>
      <c r="C7" s="8" t="n">
        <f aca="false">COUNTIFS('Feature Checklist'!$B:$B,$A7,'Feature Checklist'!$F:$F,"Partially Built")</f>
        <v>0</v>
      </c>
      <c r="D7" s="8" t="n">
        <f aca="false">COUNTIFS('Feature Checklist'!$B:$B,$A7,'Feature Checklist'!$F:$F,"Not Built")</f>
        <v>0</v>
      </c>
      <c r="E7" s="8" t="n">
        <f aca="false">COUNTIFS('Feature Checklist'!$B:$B,$A7,'Feature Checklist'!$F:$F,"N/A (excluded by design)")</f>
        <v>0</v>
      </c>
      <c r="F7" s="8" t="n">
        <f aca="false">COUNTIFS('Feature Checklist'!$B:$B,$A7,'Feature Checklist'!$F:$F,"Unclear / Needs BA Confirmation")</f>
        <v>2</v>
      </c>
      <c r="G7" s="7" t="n">
        <f aca="false">SUM(B7:F7)</f>
        <v>9</v>
      </c>
    </row>
    <row r="8" customFormat="false" ht="15" hidden="false" customHeight="false" outlineLevel="0" collapsed="false">
      <c r="A8" s="7" t="s">
        <v>31</v>
      </c>
      <c r="B8" s="8" t="n">
        <f aca="false">COUNTIFS('Feature Checklist'!$B:$B,$A8,'Feature Checklist'!$F:$F,"Built")+COUNTIFS('Feature Checklist'!$B:$B,$A8,'Feature Checklist'!$F:$F,"Built (config only, not consumed)")+COUNTIFS('Feature Checklist'!$B:$B,$A8,'Feature Checklist'!$F:$F,"Built (manual)")+COUNTIFS('Feature Checklist'!$B:$B,$A8,'Feature Checklist'!$F:$F,"Built (informational)")</f>
        <v>29</v>
      </c>
      <c r="C8" s="8" t="n">
        <f aca="false">COUNTIFS('Feature Checklist'!$B:$B,$A8,'Feature Checklist'!$F:$F,"Partially Built")</f>
        <v>6</v>
      </c>
      <c r="D8" s="8" t="n">
        <f aca="false">COUNTIFS('Feature Checklist'!$B:$B,$A8,'Feature Checklist'!$F:$F,"Not Built")</f>
        <v>6</v>
      </c>
      <c r="E8" s="8" t="n">
        <f aca="false">COUNTIFS('Feature Checklist'!$B:$B,$A8,'Feature Checklist'!$F:$F,"N/A (excluded by design)")</f>
        <v>0</v>
      </c>
      <c r="F8" s="8" t="n">
        <f aca="false">COUNTIFS('Feature Checklist'!$B:$B,$A8,'Feature Checklist'!$F:$F,"Unclear / Needs BA Confirmation")</f>
        <v>0</v>
      </c>
      <c r="G8" s="7" t="n">
        <f aca="false">SUM(B8:F8)</f>
        <v>41</v>
      </c>
    </row>
    <row r="9" customFormat="false" ht="15" hidden="false" customHeight="false" outlineLevel="0" collapsed="false">
      <c r="A9" s="7" t="s">
        <v>32</v>
      </c>
      <c r="B9" s="8" t="n">
        <f aca="false">COUNTIFS('Feature Checklist'!$B:$B,$A9,'Feature Checklist'!$F:$F,"Built")+COUNTIFS('Feature Checklist'!$B:$B,$A9,'Feature Checklist'!$F:$F,"Built (config only, not consumed)")+COUNTIFS('Feature Checklist'!$B:$B,$A9,'Feature Checklist'!$F:$F,"Built (manual)")+COUNTIFS('Feature Checklist'!$B:$B,$A9,'Feature Checklist'!$F:$F,"Built (informational)")</f>
        <v>5</v>
      </c>
      <c r="C9" s="8" t="n">
        <f aca="false">COUNTIFS('Feature Checklist'!$B:$B,$A9,'Feature Checklist'!$F:$F,"Partially Built")</f>
        <v>2</v>
      </c>
      <c r="D9" s="8" t="n">
        <f aca="false">COUNTIFS('Feature Checklist'!$B:$B,$A9,'Feature Checklist'!$F:$F,"Not Built")</f>
        <v>0</v>
      </c>
      <c r="E9" s="8" t="n">
        <f aca="false">COUNTIFS('Feature Checklist'!$B:$B,$A9,'Feature Checklist'!$F:$F,"N/A (excluded by design)")</f>
        <v>1</v>
      </c>
      <c r="F9" s="8" t="n">
        <f aca="false">COUNTIFS('Feature Checklist'!$B:$B,$A9,'Feature Checklist'!$F:$F,"Unclear / Needs BA Confirmation")</f>
        <v>0</v>
      </c>
      <c r="G9" s="7" t="n">
        <f aca="false">SUM(B9:F9)</f>
        <v>8</v>
      </c>
    </row>
    <row r="10" customFormat="false" ht="15" hidden="false" customHeight="false" outlineLevel="0" collapsed="false">
      <c r="A10" s="7" t="s">
        <v>33</v>
      </c>
      <c r="B10" s="8" t="n">
        <f aca="false">COUNTIFS('Feature Checklist'!$B:$B,$A10,'Feature Checklist'!$F:$F,"Built")+COUNTIFS('Feature Checklist'!$B:$B,$A10,'Feature Checklist'!$F:$F,"Built (config only, not consumed)")+COUNTIFS('Feature Checklist'!$B:$B,$A10,'Feature Checklist'!$F:$F,"Built (manual)")+COUNTIFS('Feature Checklist'!$B:$B,$A10,'Feature Checklist'!$F:$F,"Built (informational)")</f>
        <v>5</v>
      </c>
      <c r="C10" s="8" t="n">
        <f aca="false">COUNTIFS('Feature Checklist'!$B:$B,$A10,'Feature Checklist'!$F:$F,"Partially Built")</f>
        <v>1</v>
      </c>
      <c r="D10" s="8" t="n">
        <f aca="false">COUNTIFS('Feature Checklist'!$B:$B,$A10,'Feature Checklist'!$F:$F,"Not Built")</f>
        <v>0</v>
      </c>
      <c r="E10" s="8" t="n">
        <f aca="false">COUNTIFS('Feature Checklist'!$B:$B,$A10,'Feature Checklist'!$F:$F,"N/A (excluded by design)")</f>
        <v>0</v>
      </c>
      <c r="F10" s="8" t="n">
        <f aca="false">COUNTIFS('Feature Checklist'!$B:$B,$A10,'Feature Checklist'!$F:$F,"Unclear / Needs BA Confirmation")</f>
        <v>0</v>
      </c>
      <c r="G10" s="7" t="n">
        <f aca="false">SUM(B10:F10)</f>
        <v>6</v>
      </c>
    </row>
    <row r="11" customFormat="false" ht="15" hidden="false" customHeight="false" outlineLevel="0" collapsed="false">
      <c r="A11" s="7" t="s">
        <v>34</v>
      </c>
      <c r="B11" s="8" t="n">
        <f aca="false">COUNTIFS('Feature Checklist'!$B:$B,$A11,'Feature Checklist'!$F:$F,"Built")+COUNTIFS('Feature Checklist'!$B:$B,$A11,'Feature Checklist'!$F:$F,"Built (config only, not consumed)")+COUNTIFS('Feature Checklist'!$B:$B,$A11,'Feature Checklist'!$F:$F,"Built (manual)")+COUNTIFS('Feature Checklist'!$B:$B,$A11,'Feature Checklist'!$F:$F,"Built (informational)")</f>
        <v>12</v>
      </c>
      <c r="C11" s="8" t="n">
        <f aca="false">COUNTIFS('Feature Checklist'!$B:$B,$A11,'Feature Checklist'!$F:$F,"Partially Built")</f>
        <v>1</v>
      </c>
      <c r="D11" s="8" t="n">
        <f aca="false">COUNTIFS('Feature Checklist'!$B:$B,$A11,'Feature Checklist'!$F:$F,"Not Built")</f>
        <v>0</v>
      </c>
      <c r="E11" s="8" t="n">
        <f aca="false">COUNTIFS('Feature Checklist'!$B:$B,$A11,'Feature Checklist'!$F:$F,"N/A (excluded by design)")</f>
        <v>0</v>
      </c>
      <c r="F11" s="8" t="n">
        <f aca="false">COUNTIFS('Feature Checklist'!$B:$B,$A11,'Feature Checklist'!$F:$F,"Unclear / Needs BA Confirmation")</f>
        <v>1</v>
      </c>
      <c r="G11" s="7" t="n">
        <f aca="false">SUM(B11:F11)</f>
        <v>14</v>
      </c>
    </row>
    <row r="12" customFormat="false" ht="15" hidden="false" customHeight="false" outlineLevel="0" collapsed="false">
      <c r="A12" s="7" t="s">
        <v>35</v>
      </c>
      <c r="B12" s="8" t="n">
        <f aca="false">COUNTIFS('Feature Checklist'!$B:$B,$A12,'Feature Checklist'!$F:$F,"Built")+COUNTIFS('Feature Checklist'!$B:$B,$A12,'Feature Checklist'!$F:$F,"Built (config only, not consumed)")+COUNTIFS('Feature Checklist'!$B:$B,$A12,'Feature Checklist'!$F:$F,"Built (manual)")+COUNTIFS('Feature Checklist'!$B:$B,$A12,'Feature Checklist'!$F:$F,"Built (informational)")</f>
        <v>2</v>
      </c>
      <c r="C12" s="8" t="n">
        <f aca="false">COUNTIFS('Feature Checklist'!$B:$B,$A12,'Feature Checklist'!$F:$F,"Partially Built")</f>
        <v>5</v>
      </c>
      <c r="D12" s="8" t="n">
        <f aca="false">COUNTIFS('Feature Checklist'!$B:$B,$A12,'Feature Checklist'!$F:$F,"Not Built")</f>
        <v>3</v>
      </c>
      <c r="E12" s="8" t="n">
        <f aca="false">COUNTIFS('Feature Checklist'!$B:$B,$A12,'Feature Checklist'!$F:$F,"N/A (excluded by design)")</f>
        <v>0</v>
      </c>
      <c r="F12" s="8" t="n">
        <f aca="false">COUNTIFS('Feature Checklist'!$B:$B,$A12,'Feature Checklist'!$F:$F,"Unclear / Needs BA Confirmation")</f>
        <v>0</v>
      </c>
      <c r="G12" s="7" t="n">
        <f aca="false">SUM(B12:F12)</f>
        <v>10</v>
      </c>
    </row>
    <row r="13" customFormat="false" ht="15" hidden="false" customHeight="false" outlineLevel="0" collapsed="false">
      <c r="A13" s="7" t="s">
        <v>36</v>
      </c>
      <c r="B13" s="8" t="n">
        <f aca="false">COUNTIFS('Feature Checklist'!$B:$B,$A13,'Feature Checklist'!$F:$F,"Built")+COUNTIFS('Feature Checklist'!$B:$B,$A13,'Feature Checklist'!$F:$F,"Built (config only, not consumed)")+COUNTIFS('Feature Checklist'!$B:$B,$A13,'Feature Checklist'!$F:$F,"Built (manual)")+COUNTIFS('Feature Checklist'!$B:$B,$A13,'Feature Checklist'!$F:$F,"Built (informational)")</f>
        <v>5</v>
      </c>
      <c r="C13" s="8" t="n">
        <f aca="false">COUNTIFS('Feature Checklist'!$B:$B,$A13,'Feature Checklist'!$F:$F,"Partially Built")</f>
        <v>5</v>
      </c>
      <c r="D13" s="8" t="n">
        <f aca="false">COUNTIFS('Feature Checklist'!$B:$B,$A13,'Feature Checklist'!$F:$F,"Not Built")</f>
        <v>14</v>
      </c>
      <c r="E13" s="8" t="n">
        <f aca="false">COUNTIFS('Feature Checklist'!$B:$B,$A13,'Feature Checklist'!$F:$F,"N/A (excluded by design)")</f>
        <v>0</v>
      </c>
      <c r="F13" s="8" t="n">
        <f aca="false">COUNTIFS('Feature Checklist'!$B:$B,$A13,'Feature Checklist'!$F:$F,"Unclear / Needs BA Confirmation")</f>
        <v>3</v>
      </c>
      <c r="G13" s="7" t="n">
        <f aca="false">SUM(B13:F13)</f>
        <v>27</v>
      </c>
    </row>
    <row r="14" customFormat="false" ht="15" hidden="false" customHeight="false" outlineLevel="0" collapsed="false">
      <c r="A14" s="7" t="s">
        <v>37</v>
      </c>
      <c r="B14" s="8" t="n">
        <f aca="false">COUNTIFS('Feature Checklist'!$B:$B,$A14,'Feature Checklist'!$F:$F,"Built")+COUNTIFS('Feature Checklist'!$B:$B,$A14,'Feature Checklist'!$F:$F,"Built (config only, not consumed)")+COUNTIFS('Feature Checklist'!$B:$B,$A14,'Feature Checklist'!$F:$F,"Built (manual)")+COUNTIFS('Feature Checklist'!$B:$B,$A14,'Feature Checklist'!$F:$F,"Built (informational)")</f>
        <v>2</v>
      </c>
      <c r="C14" s="8" t="n">
        <f aca="false">COUNTIFS('Feature Checklist'!$B:$B,$A14,'Feature Checklist'!$F:$F,"Partially Built")</f>
        <v>0</v>
      </c>
      <c r="D14" s="8" t="n">
        <f aca="false">COUNTIFS('Feature Checklist'!$B:$B,$A14,'Feature Checklist'!$F:$F,"Not Built")</f>
        <v>9</v>
      </c>
      <c r="E14" s="8" t="n">
        <f aca="false">COUNTIFS('Feature Checklist'!$B:$B,$A14,'Feature Checklist'!$F:$F,"N/A (excluded by design)")</f>
        <v>0</v>
      </c>
      <c r="F14" s="8" t="n">
        <f aca="false">COUNTIFS('Feature Checklist'!$B:$B,$A14,'Feature Checklist'!$F:$F,"Unclear / Needs BA Confirmation")</f>
        <v>0</v>
      </c>
      <c r="G14" s="7" t="n">
        <f aca="false">SUM(B14:F14)</f>
        <v>11</v>
      </c>
    </row>
    <row r="15" customFormat="false" ht="15" hidden="false" customHeight="false" outlineLevel="0" collapsed="false">
      <c r="A15" s="7" t="s">
        <v>38</v>
      </c>
      <c r="B15" s="8" t="n">
        <f aca="false">COUNTIFS('Feature Checklist'!$B:$B,$A15,'Feature Checklist'!$F:$F,"Built")+COUNTIFS('Feature Checklist'!$B:$B,$A15,'Feature Checklist'!$F:$F,"Built (config only, not consumed)")+COUNTIFS('Feature Checklist'!$B:$B,$A15,'Feature Checklist'!$F:$F,"Built (manual)")+COUNTIFS('Feature Checklist'!$B:$B,$A15,'Feature Checklist'!$F:$F,"Built (informational)")</f>
        <v>0</v>
      </c>
      <c r="C15" s="8" t="n">
        <f aca="false">COUNTIFS('Feature Checklist'!$B:$B,$A15,'Feature Checklist'!$F:$F,"Partially Built")</f>
        <v>0</v>
      </c>
      <c r="D15" s="8" t="n">
        <f aca="false">COUNTIFS('Feature Checklist'!$B:$B,$A15,'Feature Checklist'!$F:$F,"Not Built")</f>
        <v>8</v>
      </c>
      <c r="E15" s="8" t="n">
        <f aca="false">COUNTIFS('Feature Checklist'!$B:$B,$A15,'Feature Checklist'!$F:$F,"N/A (excluded by design)")</f>
        <v>0</v>
      </c>
      <c r="F15" s="8" t="n">
        <f aca="false">COUNTIFS('Feature Checklist'!$B:$B,$A15,'Feature Checklist'!$F:$F,"Unclear / Needs BA Confirmation")</f>
        <v>0</v>
      </c>
      <c r="G15" s="7" t="n">
        <f aca="false">SUM(B15:F15)</f>
        <v>8</v>
      </c>
    </row>
    <row r="16" customFormat="false" ht="15" hidden="false" customHeight="false" outlineLevel="0" collapsed="false">
      <c r="A16" s="7" t="s">
        <v>39</v>
      </c>
      <c r="B16" s="8" t="n">
        <f aca="false">COUNTIFS('Feature Checklist'!$B:$B,$A16,'Feature Checklist'!$F:$F,"Built")+COUNTIFS('Feature Checklist'!$B:$B,$A16,'Feature Checklist'!$F:$F,"Built (config only, not consumed)")+COUNTIFS('Feature Checklist'!$B:$B,$A16,'Feature Checklist'!$F:$F,"Built (manual)")+COUNTIFS('Feature Checklist'!$B:$B,$A16,'Feature Checklist'!$F:$F,"Built (informational)")</f>
        <v>11</v>
      </c>
      <c r="C16" s="8" t="n">
        <f aca="false">COUNTIFS('Feature Checklist'!$B:$B,$A16,'Feature Checklist'!$F:$F,"Partially Built")</f>
        <v>8</v>
      </c>
      <c r="D16" s="8" t="n">
        <f aca="false">COUNTIFS('Feature Checklist'!$B:$B,$A16,'Feature Checklist'!$F:$F,"Not Built")</f>
        <v>12</v>
      </c>
      <c r="E16" s="8" t="n">
        <f aca="false">COUNTIFS('Feature Checklist'!$B:$B,$A16,'Feature Checklist'!$F:$F,"N/A (excluded by design)")</f>
        <v>0</v>
      </c>
      <c r="F16" s="8" t="n">
        <f aca="false">COUNTIFS('Feature Checklist'!$B:$B,$A16,'Feature Checklist'!$F:$F,"Unclear / Needs BA Confirmation")</f>
        <v>1</v>
      </c>
      <c r="G16" s="7" t="n">
        <f aca="false">SUM(B16:F16)</f>
        <v>32</v>
      </c>
    </row>
    <row r="17" customFormat="false" ht="15" hidden="false" customHeight="false" outlineLevel="0" collapsed="false">
      <c r="A17" s="7" t="s">
        <v>40</v>
      </c>
      <c r="B17" s="8" t="n">
        <f aca="false">COUNTIFS('Feature Checklist'!$B:$B,$A17,'Feature Checklist'!$F:$F,"Built")+COUNTIFS('Feature Checklist'!$B:$B,$A17,'Feature Checklist'!$F:$F,"Built (config only, not consumed)")+COUNTIFS('Feature Checklist'!$B:$B,$A17,'Feature Checklist'!$F:$F,"Built (manual)")+COUNTIFS('Feature Checklist'!$B:$B,$A17,'Feature Checklist'!$F:$F,"Built (informational)")</f>
        <v>1</v>
      </c>
      <c r="C17" s="8" t="n">
        <f aca="false">COUNTIFS('Feature Checklist'!$B:$B,$A17,'Feature Checklist'!$F:$F,"Partially Built")</f>
        <v>0</v>
      </c>
      <c r="D17" s="8" t="n">
        <f aca="false">COUNTIFS('Feature Checklist'!$B:$B,$A17,'Feature Checklist'!$F:$F,"Not Built")</f>
        <v>1</v>
      </c>
      <c r="E17" s="8" t="n">
        <f aca="false">COUNTIFS('Feature Checklist'!$B:$B,$A17,'Feature Checklist'!$F:$F,"N/A (excluded by design)")</f>
        <v>0</v>
      </c>
      <c r="F17" s="8" t="n">
        <f aca="false">COUNTIFS('Feature Checklist'!$B:$B,$A17,'Feature Checklist'!$F:$F,"Unclear / Needs BA Confirmation")</f>
        <v>5</v>
      </c>
      <c r="G17" s="7" t="n">
        <f aca="false">SUM(B17:F17)</f>
        <v>7</v>
      </c>
    </row>
    <row r="18" customFormat="false" ht="15" hidden="false" customHeight="false" outlineLevel="0" collapsed="false">
      <c r="A18" s="9" t="s">
        <v>41</v>
      </c>
      <c r="B18" s="10" t="n">
        <f aca="false">SUM(B4:B17)</f>
        <v>90</v>
      </c>
      <c r="C18" s="10" t="n">
        <f aca="false">SUM(C4:C17)</f>
        <v>37</v>
      </c>
      <c r="D18" s="10" t="n">
        <f aca="false">SUM(D4:D17)</f>
        <v>75</v>
      </c>
      <c r="E18" s="10" t="n">
        <f aca="false">SUM(E4:E17)</f>
        <v>1</v>
      </c>
      <c r="F18" s="10" t="n">
        <f aca="false">SUM(F4:F17)</f>
        <v>14</v>
      </c>
      <c r="G18" s="10" t="n">
        <f aca="false">SUM(G4:G17)</f>
        <v>217</v>
      </c>
    </row>
    <row r="21" customFormat="false" ht="15" hidden="false" customHeight="false" outlineLevel="0" collapsed="false">
      <c r="A21" s="3" t="s">
        <v>42</v>
      </c>
      <c r="B21" s="3" t="n">
        <f aca="false">19</f>
        <v>19</v>
      </c>
    </row>
    <row r="22" customFormat="false" ht="15" hidden="false" customHeight="false" outlineLevel="0" collapsed="false">
      <c r="A22" s="2" t="s">
        <v>43</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0"/>
    <col collapsed="false" customWidth="true" hidden="false" outlineLevel="0" max="4" min="4" style="0" width="42"/>
    <col collapsed="false" customWidth="true" hidden="false" outlineLevel="0" max="5" min="5" style="0" width="12"/>
    <col collapsed="false" customWidth="true" hidden="false" outlineLevel="0" max="6" min="6" style="0" width="30"/>
    <col collapsed="false" customWidth="true" hidden="false" outlineLevel="0" max="7" min="7" style="0" width="11"/>
    <col collapsed="false" customWidth="true" hidden="false" outlineLevel="0" max="8" min="8" style="0" width="42"/>
    <col collapsed="false" customWidth="true" hidden="false" outlineLevel="0" max="9" min="9" style="0" width="55"/>
  </cols>
  <sheetData>
    <row r="1" customFormat="false" ht="30" hidden="false" customHeight="true" outlineLevel="0" collapsed="false">
      <c r="A1" s="6" t="s">
        <v>44</v>
      </c>
      <c r="B1" s="6" t="s">
        <v>20</v>
      </c>
      <c r="C1" s="6" t="s">
        <v>45</v>
      </c>
      <c r="D1" s="6" t="s">
        <v>46</v>
      </c>
      <c r="E1" s="6" t="s">
        <v>47</v>
      </c>
      <c r="F1" s="6" t="s">
        <v>48</v>
      </c>
      <c r="G1" s="6" t="s">
        <v>49</v>
      </c>
      <c r="H1" s="6" t="s">
        <v>50</v>
      </c>
      <c r="I1" s="6" t="s">
        <v>51</v>
      </c>
    </row>
    <row r="2" customFormat="false" ht="35.05" hidden="false" customHeight="false" outlineLevel="0" collapsed="false">
      <c r="A2" s="11" t="n">
        <v>1</v>
      </c>
      <c r="B2" s="11" t="s">
        <v>27</v>
      </c>
      <c r="C2" s="11" t="s">
        <v>52</v>
      </c>
      <c r="D2" s="11" t="s">
        <v>53</v>
      </c>
      <c r="E2" s="11" t="s">
        <v>54</v>
      </c>
      <c r="F2" s="12" t="s">
        <v>21</v>
      </c>
      <c r="G2" s="13" t="s">
        <v>55</v>
      </c>
      <c r="H2" s="11" t="s">
        <v>56</v>
      </c>
      <c r="I2" s="11" t="s">
        <v>57</v>
      </c>
    </row>
    <row r="3" customFormat="false" ht="23.85" hidden="false" customHeight="false" outlineLevel="0" collapsed="false">
      <c r="A3" s="11" t="n">
        <v>2</v>
      </c>
      <c r="B3" s="11" t="s">
        <v>27</v>
      </c>
      <c r="C3" s="11" t="s">
        <v>58</v>
      </c>
      <c r="D3" s="11" t="s">
        <v>59</v>
      </c>
      <c r="E3" s="11" t="s">
        <v>60</v>
      </c>
      <c r="F3" s="14" t="s">
        <v>23</v>
      </c>
      <c r="G3" s="13" t="s">
        <v>55</v>
      </c>
      <c r="H3" s="11" t="s">
        <v>61</v>
      </c>
      <c r="I3" s="11"/>
    </row>
    <row r="4" customFormat="false" ht="23.85" hidden="false" customHeight="false" outlineLevel="0" collapsed="false">
      <c r="A4" s="11" t="n">
        <v>3</v>
      </c>
      <c r="B4" s="11" t="s">
        <v>27</v>
      </c>
      <c r="C4" s="11" t="s">
        <v>62</v>
      </c>
      <c r="D4" s="11" t="s">
        <v>63</v>
      </c>
      <c r="E4" s="11" t="s">
        <v>64</v>
      </c>
      <c r="F4" s="14" t="s">
        <v>23</v>
      </c>
      <c r="G4" s="13" t="s">
        <v>55</v>
      </c>
      <c r="H4" s="11" t="s">
        <v>65</v>
      </c>
      <c r="I4" s="11" t="s">
        <v>66</v>
      </c>
    </row>
    <row r="5" customFormat="false" ht="23.85" hidden="false" customHeight="false" outlineLevel="0" collapsed="false">
      <c r="A5" s="11" t="n">
        <v>4</v>
      </c>
      <c r="B5" s="11" t="s">
        <v>27</v>
      </c>
      <c r="C5" s="11" t="s">
        <v>62</v>
      </c>
      <c r="D5" s="11" t="s">
        <v>67</v>
      </c>
      <c r="E5" s="11" t="s">
        <v>64</v>
      </c>
      <c r="F5" s="14" t="s">
        <v>23</v>
      </c>
      <c r="G5" s="13" t="s">
        <v>55</v>
      </c>
      <c r="H5" s="11" t="s">
        <v>68</v>
      </c>
      <c r="I5" s="11"/>
    </row>
    <row r="6" customFormat="false" ht="23.85" hidden="false" customHeight="false" outlineLevel="0" collapsed="false">
      <c r="A6" s="11" t="n">
        <v>5</v>
      </c>
      <c r="B6" s="11" t="s">
        <v>27</v>
      </c>
      <c r="C6" s="11" t="s">
        <v>62</v>
      </c>
      <c r="D6" s="11" t="s">
        <v>69</v>
      </c>
      <c r="E6" s="11" t="s">
        <v>64</v>
      </c>
      <c r="F6" s="14" t="s">
        <v>23</v>
      </c>
      <c r="G6" s="13" t="s">
        <v>55</v>
      </c>
      <c r="H6" s="11" t="s">
        <v>70</v>
      </c>
      <c r="I6" s="11"/>
    </row>
    <row r="7" customFormat="false" ht="35.05" hidden="false" customHeight="false" outlineLevel="0" collapsed="false">
      <c r="A7" s="11" t="n">
        <v>6</v>
      </c>
      <c r="B7" s="11" t="s">
        <v>27</v>
      </c>
      <c r="C7" s="11" t="s">
        <v>71</v>
      </c>
      <c r="D7" s="11" t="s">
        <v>72</v>
      </c>
      <c r="E7" s="11" t="s">
        <v>73</v>
      </c>
      <c r="F7" s="12" t="s">
        <v>21</v>
      </c>
      <c r="G7" s="13" t="s">
        <v>55</v>
      </c>
      <c r="H7" s="11" t="s">
        <v>74</v>
      </c>
      <c r="I7" s="11" t="s">
        <v>75</v>
      </c>
    </row>
    <row r="8" customFormat="false" ht="46.25" hidden="false" customHeight="false" outlineLevel="0" collapsed="false">
      <c r="A8" s="11" t="n">
        <v>7</v>
      </c>
      <c r="B8" s="11" t="s">
        <v>27</v>
      </c>
      <c r="C8" s="11" t="s">
        <v>71</v>
      </c>
      <c r="D8" s="11" t="s">
        <v>76</v>
      </c>
      <c r="E8" s="11" t="s">
        <v>73</v>
      </c>
      <c r="F8" s="15" t="s">
        <v>22</v>
      </c>
      <c r="G8" s="13" t="s">
        <v>55</v>
      </c>
      <c r="H8" s="11" t="s">
        <v>77</v>
      </c>
      <c r="I8" s="11" t="s">
        <v>78</v>
      </c>
    </row>
    <row r="9" customFormat="false" ht="46.25" hidden="false" customHeight="false" outlineLevel="0" collapsed="false">
      <c r="A9" s="11" t="n">
        <v>8</v>
      </c>
      <c r="B9" s="11" t="s">
        <v>27</v>
      </c>
      <c r="C9" s="11" t="s">
        <v>79</v>
      </c>
      <c r="D9" s="11" t="s">
        <v>80</v>
      </c>
      <c r="E9" s="11" t="s">
        <v>81</v>
      </c>
      <c r="F9" s="12" t="s">
        <v>21</v>
      </c>
      <c r="G9" s="13" t="s">
        <v>55</v>
      </c>
      <c r="H9" s="11" t="s">
        <v>82</v>
      </c>
      <c r="I9" s="11" t="s">
        <v>83</v>
      </c>
    </row>
    <row r="10" customFormat="false" ht="23.85" hidden="false" customHeight="false" outlineLevel="0" collapsed="false">
      <c r="A10" s="11" t="n">
        <v>9</v>
      </c>
      <c r="B10" s="11" t="s">
        <v>27</v>
      </c>
      <c r="C10" s="11" t="s">
        <v>79</v>
      </c>
      <c r="D10" s="11" t="s">
        <v>84</v>
      </c>
      <c r="E10" s="11" t="s">
        <v>81</v>
      </c>
      <c r="F10" s="15" t="s">
        <v>22</v>
      </c>
      <c r="G10" s="13" t="s">
        <v>55</v>
      </c>
      <c r="H10" s="11" t="s">
        <v>85</v>
      </c>
      <c r="I10" s="11" t="s">
        <v>86</v>
      </c>
    </row>
    <row r="11" customFormat="false" ht="23.85" hidden="false" customHeight="false" outlineLevel="0" collapsed="false">
      <c r="A11" s="11" t="n">
        <v>10</v>
      </c>
      <c r="B11" s="11" t="s">
        <v>27</v>
      </c>
      <c r="C11" s="11" t="s">
        <v>87</v>
      </c>
      <c r="D11" s="11" t="s">
        <v>88</v>
      </c>
      <c r="E11" s="11" t="s">
        <v>89</v>
      </c>
      <c r="F11" s="12" t="s">
        <v>21</v>
      </c>
      <c r="G11" s="13" t="s">
        <v>55</v>
      </c>
      <c r="H11" s="11" t="s">
        <v>90</v>
      </c>
      <c r="I11" s="11"/>
    </row>
    <row r="12" customFormat="false" ht="46.25" hidden="false" customHeight="false" outlineLevel="0" collapsed="false">
      <c r="A12" s="11" t="n">
        <v>11</v>
      </c>
      <c r="B12" s="11" t="s">
        <v>27</v>
      </c>
      <c r="C12" s="11" t="s">
        <v>91</v>
      </c>
      <c r="D12" s="11" t="s">
        <v>92</v>
      </c>
      <c r="E12" s="11" t="s">
        <v>93</v>
      </c>
      <c r="F12" s="15" t="s">
        <v>22</v>
      </c>
      <c r="G12" s="13" t="s">
        <v>55</v>
      </c>
      <c r="H12" s="11" t="s">
        <v>94</v>
      </c>
      <c r="I12" s="11"/>
    </row>
    <row r="13" customFormat="false" ht="35.05" hidden="false" customHeight="false" outlineLevel="0" collapsed="false">
      <c r="A13" s="11" t="n">
        <v>12</v>
      </c>
      <c r="B13" s="11" t="s">
        <v>27</v>
      </c>
      <c r="C13" s="11" t="s">
        <v>91</v>
      </c>
      <c r="D13" s="11" t="s">
        <v>95</v>
      </c>
      <c r="E13" s="11" t="s">
        <v>93</v>
      </c>
      <c r="F13" s="14" t="s">
        <v>23</v>
      </c>
      <c r="G13" s="13" t="s">
        <v>55</v>
      </c>
      <c r="H13" s="11" t="s">
        <v>96</v>
      </c>
      <c r="I13" s="11" t="s">
        <v>97</v>
      </c>
    </row>
    <row r="14" customFormat="false" ht="23.85" hidden="false" customHeight="false" outlineLevel="0" collapsed="false">
      <c r="A14" s="11" t="n">
        <v>13</v>
      </c>
      <c r="B14" s="11" t="s">
        <v>27</v>
      </c>
      <c r="C14" s="11" t="s">
        <v>91</v>
      </c>
      <c r="D14" s="11" t="s">
        <v>98</v>
      </c>
      <c r="E14" s="11" t="s">
        <v>93</v>
      </c>
      <c r="F14" s="15" t="s">
        <v>22</v>
      </c>
      <c r="G14" s="13" t="s">
        <v>55</v>
      </c>
      <c r="H14" s="11" t="s">
        <v>99</v>
      </c>
      <c r="I14" s="11" t="s">
        <v>100</v>
      </c>
    </row>
    <row r="15" customFormat="false" ht="35.05" hidden="false" customHeight="false" outlineLevel="0" collapsed="false">
      <c r="A15" s="11" t="n">
        <v>14</v>
      </c>
      <c r="B15" s="11" t="s">
        <v>27</v>
      </c>
      <c r="C15" s="11" t="s">
        <v>91</v>
      </c>
      <c r="D15" s="11" t="s">
        <v>101</v>
      </c>
      <c r="E15" s="11" t="s">
        <v>93</v>
      </c>
      <c r="F15" s="14" t="s">
        <v>23</v>
      </c>
      <c r="G15" s="13" t="s">
        <v>55</v>
      </c>
      <c r="H15" s="11" t="s">
        <v>102</v>
      </c>
      <c r="I15" s="11"/>
    </row>
    <row r="16" customFormat="false" ht="35.05" hidden="false" customHeight="false" outlineLevel="0" collapsed="false">
      <c r="A16" s="11" t="n">
        <v>15</v>
      </c>
      <c r="B16" s="11" t="s">
        <v>27</v>
      </c>
      <c r="C16" s="11" t="s">
        <v>91</v>
      </c>
      <c r="D16" s="11" t="s">
        <v>103</v>
      </c>
      <c r="E16" s="11" t="s">
        <v>93</v>
      </c>
      <c r="F16" s="14" t="s">
        <v>23</v>
      </c>
      <c r="G16" s="13" t="s">
        <v>55</v>
      </c>
      <c r="H16" s="11" t="s">
        <v>104</v>
      </c>
      <c r="I16" s="11"/>
    </row>
    <row r="17" customFormat="false" ht="23.85" hidden="false" customHeight="false" outlineLevel="0" collapsed="false">
      <c r="A17" s="11" t="n">
        <v>16</v>
      </c>
      <c r="B17" s="11" t="s">
        <v>27</v>
      </c>
      <c r="C17" s="11" t="s">
        <v>91</v>
      </c>
      <c r="D17" s="11" t="s">
        <v>105</v>
      </c>
      <c r="E17" s="11" t="s">
        <v>93</v>
      </c>
      <c r="F17" s="14" t="s">
        <v>23</v>
      </c>
      <c r="G17" s="13" t="s">
        <v>55</v>
      </c>
      <c r="H17" s="11" t="s">
        <v>106</v>
      </c>
      <c r="I17" s="11"/>
    </row>
    <row r="18" customFormat="false" ht="15" hidden="false" customHeight="false" outlineLevel="0" collapsed="false">
      <c r="A18" s="11" t="n">
        <v>17</v>
      </c>
      <c r="B18" s="11" t="s">
        <v>27</v>
      </c>
      <c r="C18" s="11" t="s">
        <v>91</v>
      </c>
      <c r="D18" s="11" t="s">
        <v>107</v>
      </c>
      <c r="E18" s="11" t="s">
        <v>93</v>
      </c>
      <c r="F18" s="12" t="s">
        <v>21</v>
      </c>
      <c r="G18" s="13" t="s">
        <v>55</v>
      </c>
      <c r="H18" s="11" t="s">
        <v>108</v>
      </c>
      <c r="I18" s="11"/>
    </row>
    <row r="19" customFormat="false" ht="35.05" hidden="false" customHeight="false" outlineLevel="0" collapsed="false">
      <c r="A19" s="11" t="n">
        <v>18</v>
      </c>
      <c r="B19" s="11" t="s">
        <v>27</v>
      </c>
      <c r="C19" s="11" t="s">
        <v>91</v>
      </c>
      <c r="D19" s="11" t="s">
        <v>109</v>
      </c>
      <c r="E19" s="11" t="s">
        <v>93</v>
      </c>
      <c r="F19" s="14" t="s">
        <v>23</v>
      </c>
      <c r="G19" s="13" t="s">
        <v>55</v>
      </c>
      <c r="H19" s="11" t="s">
        <v>110</v>
      </c>
      <c r="I19" s="11"/>
    </row>
    <row r="20" customFormat="false" ht="23.85" hidden="false" customHeight="false" outlineLevel="0" collapsed="false">
      <c r="A20" s="11" t="n">
        <v>19</v>
      </c>
      <c r="B20" s="11" t="s">
        <v>28</v>
      </c>
      <c r="C20" s="11" t="s">
        <v>111</v>
      </c>
      <c r="D20" s="11" t="s">
        <v>112</v>
      </c>
      <c r="E20" s="11" t="s">
        <v>111</v>
      </c>
      <c r="F20" s="14" t="s">
        <v>23</v>
      </c>
      <c r="G20" s="13" t="s">
        <v>55</v>
      </c>
      <c r="H20" s="11" t="s">
        <v>113</v>
      </c>
      <c r="I20" s="11" t="s">
        <v>114</v>
      </c>
    </row>
    <row r="21" customFormat="false" ht="23.85" hidden="false" customHeight="false" outlineLevel="0" collapsed="false">
      <c r="A21" s="11" t="n">
        <v>20</v>
      </c>
      <c r="B21" s="11" t="s">
        <v>28</v>
      </c>
      <c r="C21" s="11" t="s">
        <v>115</v>
      </c>
      <c r="D21" s="11" t="s">
        <v>116</v>
      </c>
      <c r="E21" s="11" t="s">
        <v>115</v>
      </c>
      <c r="F21" s="14" t="s">
        <v>23</v>
      </c>
      <c r="G21" s="13" t="s">
        <v>55</v>
      </c>
      <c r="H21" s="11" t="s">
        <v>117</v>
      </c>
      <c r="I21" s="11"/>
    </row>
    <row r="22" customFormat="false" ht="23.85" hidden="false" customHeight="false" outlineLevel="0" collapsed="false">
      <c r="A22" s="11" t="n">
        <v>21</v>
      </c>
      <c r="B22" s="11" t="s">
        <v>28</v>
      </c>
      <c r="C22" s="11" t="s">
        <v>118</v>
      </c>
      <c r="D22" s="11" t="s">
        <v>119</v>
      </c>
      <c r="E22" s="11" t="s">
        <v>118</v>
      </c>
      <c r="F22" s="14" t="s">
        <v>23</v>
      </c>
      <c r="G22" s="13" t="s">
        <v>55</v>
      </c>
      <c r="H22" s="11" t="s">
        <v>120</v>
      </c>
      <c r="I22" s="11" t="s">
        <v>121</v>
      </c>
    </row>
    <row r="23" customFormat="false" ht="23.85" hidden="false" customHeight="false" outlineLevel="0" collapsed="false">
      <c r="A23" s="11" t="n">
        <v>22</v>
      </c>
      <c r="B23" s="11" t="s">
        <v>28</v>
      </c>
      <c r="C23" s="11" t="s">
        <v>122</v>
      </c>
      <c r="D23" s="11" t="s">
        <v>123</v>
      </c>
      <c r="E23" s="11" t="s">
        <v>122</v>
      </c>
      <c r="F23" s="15" t="s">
        <v>22</v>
      </c>
      <c r="G23" s="13" t="s">
        <v>55</v>
      </c>
      <c r="H23" s="11" t="s">
        <v>124</v>
      </c>
      <c r="I23" s="11" t="s">
        <v>125</v>
      </c>
    </row>
    <row r="24" customFormat="false" ht="23.85" hidden="false" customHeight="false" outlineLevel="0" collapsed="false">
      <c r="A24" s="11" t="n">
        <v>23</v>
      </c>
      <c r="B24" s="11" t="s">
        <v>28</v>
      </c>
      <c r="C24" s="11" t="s">
        <v>126</v>
      </c>
      <c r="D24" s="11" t="s">
        <v>127</v>
      </c>
      <c r="E24" s="11" t="s">
        <v>126</v>
      </c>
      <c r="F24" s="14" t="s">
        <v>23</v>
      </c>
      <c r="G24" s="13" t="s">
        <v>55</v>
      </c>
      <c r="H24" s="11" t="s">
        <v>128</v>
      </c>
      <c r="I24" s="11"/>
    </row>
    <row r="25" customFormat="false" ht="15" hidden="false" customHeight="false" outlineLevel="0" collapsed="false">
      <c r="A25" s="11" t="n">
        <v>24</v>
      </c>
      <c r="B25" s="11" t="s">
        <v>28</v>
      </c>
      <c r="C25" s="11" t="s">
        <v>129</v>
      </c>
      <c r="D25" s="11" t="s">
        <v>130</v>
      </c>
      <c r="E25" s="11" t="s">
        <v>129</v>
      </c>
      <c r="F25" s="14" t="s">
        <v>23</v>
      </c>
      <c r="G25" s="13" t="s">
        <v>55</v>
      </c>
      <c r="H25" s="11" t="s">
        <v>131</v>
      </c>
      <c r="I25" s="11"/>
    </row>
    <row r="26" customFormat="false" ht="23.85" hidden="false" customHeight="false" outlineLevel="0" collapsed="false">
      <c r="A26" s="11" t="n">
        <v>25</v>
      </c>
      <c r="B26" s="11" t="s">
        <v>28</v>
      </c>
      <c r="C26" s="11" t="s">
        <v>132</v>
      </c>
      <c r="D26" s="11" t="s">
        <v>133</v>
      </c>
      <c r="E26" s="11" t="s">
        <v>132</v>
      </c>
      <c r="F26" s="14" t="s">
        <v>23</v>
      </c>
      <c r="G26" s="13" t="s">
        <v>55</v>
      </c>
      <c r="H26" s="11" t="s">
        <v>134</v>
      </c>
      <c r="I26" s="11"/>
    </row>
    <row r="27" customFormat="false" ht="23.85" hidden="false" customHeight="false" outlineLevel="0" collapsed="false">
      <c r="A27" s="11" t="n">
        <v>26</v>
      </c>
      <c r="B27" s="11" t="s">
        <v>28</v>
      </c>
      <c r="C27" s="11" t="s">
        <v>135</v>
      </c>
      <c r="D27" s="11" t="s">
        <v>136</v>
      </c>
      <c r="E27" s="11" t="s">
        <v>135</v>
      </c>
      <c r="F27" s="14" t="s">
        <v>23</v>
      </c>
      <c r="G27" s="13" t="s">
        <v>55</v>
      </c>
      <c r="H27" s="11" t="s">
        <v>137</v>
      </c>
      <c r="I27" s="11"/>
    </row>
    <row r="28" customFormat="false" ht="57.45" hidden="false" customHeight="false" outlineLevel="0" collapsed="false">
      <c r="A28" s="11" t="n">
        <v>27</v>
      </c>
      <c r="B28" s="11" t="s">
        <v>29</v>
      </c>
      <c r="C28" s="11" t="s">
        <v>138</v>
      </c>
      <c r="D28" s="11" t="s">
        <v>139</v>
      </c>
      <c r="E28" s="11" t="s">
        <v>140</v>
      </c>
      <c r="F28" s="15" t="s">
        <v>22</v>
      </c>
      <c r="G28" s="13" t="s">
        <v>55</v>
      </c>
      <c r="H28" s="11" t="s">
        <v>141</v>
      </c>
      <c r="I28" s="11" t="s">
        <v>142</v>
      </c>
    </row>
    <row r="29" customFormat="false" ht="35.05" hidden="false" customHeight="false" outlineLevel="0" collapsed="false">
      <c r="A29" s="11" t="n">
        <v>28</v>
      </c>
      <c r="B29" s="11" t="s">
        <v>29</v>
      </c>
      <c r="C29" s="11" t="s">
        <v>138</v>
      </c>
      <c r="D29" s="11" t="s">
        <v>143</v>
      </c>
      <c r="E29" s="11" t="s">
        <v>140</v>
      </c>
      <c r="F29" s="12" t="s">
        <v>21</v>
      </c>
      <c r="G29" s="13" t="s">
        <v>55</v>
      </c>
      <c r="H29" s="11" t="s">
        <v>144</v>
      </c>
      <c r="I29" s="11" t="s">
        <v>145</v>
      </c>
    </row>
    <row r="30" customFormat="false" ht="35.05" hidden="false" customHeight="false" outlineLevel="0" collapsed="false">
      <c r="A30" s="11" t="n">
        <v>29</v>
      </c>
      <c r="B30" s="11" t="s">
        <v>29</v>
      </c>
      <c r="C30" s="11" t="s">
        <v>138</v>
      </c>
      <c r="D30" s="11" t="s">
        <v>146</v>
      </c>
      <c r="E30" s="11" t="s">
        <v>140</v>
      </c>
      <c r="F30" s="14" t="s">
        <v>23</v>
      </c>
      <c r="G30" s="13" t="s">
        <v>55</v>
      </c>
      <c r="H30" s="11" t="s">
        <v>147</v>
      </c>
      <c r="I30" s="11" t="s">
        <v>148</v>
      </c>
    </row>
    <row r="31" customFormat="false" ht="23.85" hidden="false" customHeight="false" outlineLevel="0" collapsed="false">
      <c r="A31" s="11" t="n">
        <v>30</v>
      </c>
      <c r="B31" s="11" t="s">
        <v>29</v>
      </c>
      <c r="C31" s="11" t="s">
        <v>149</v>
      </c>
      <c r="D31" s="11" t="s">
        <v>150</v>
      </c>
      <c r="E31" s="11" t="s">
        <v>151</v>
      </c>
      <c r="F31" s="15" t="s">
        <v>22</v>
      </c>
      <c r="G31" s="13" t="s">
        <v>55</v>
      </c>
      <c r="H31" s="11" t="s">
        <v>152</v>
      </c>
      <c r="I31" s="11" t="s">
        <v>153</v>
      </c>
    </row>
    <row r="32" customFormat="false" ht="35.05" hidden="false" customHeight="false" outlineLevel="0" collapsed="false">
      <c r="A32" s="11" t="n">
        <v>31</v>
      </c>
      <c r="B32" s="11" t="s">
        <v>29</v>
      </c>
      <c r="C32" s="11" t="s">
        <v>149</v>
      </c>
      <c r="D32" s="11" t="s">
        <v>154</v>
      </c>
      <c r="E32" s="11" t="s">
        <v>151</v>
      </c>
      <c r="F32" s="14" t="s">
        <v>23</v>
      </c>
      <c r="G32" s="13" t="s">
        <v>55</v>
      </c>
      <c r="H32" s="11" t="s">
        <v>155</v>
      </c>
      <c r="I32" s="11" t="s">
        <v>156</v>
      </c>
    </row>
    <row r="33" customFormat="false" ht="23.85" hidden="false" customHeight="false" outlineLevel="0" collapsed="false">
      <c r="A33" s="11" t="n">
        <v>32</v>
      </c>
      <c r="B33" s="11" t="s">
        <v>29</v>
      </c>
      <c r="C33" s="11" t="s">
        <v>149</v>
      </c>
      <c r="D33" s="11" t="s">
        <v>157</v>
      </c>
      <c r="E33" s="11" t="s">
        <v>151</v>
      </c>
      <c r="F33" s="14" t="s">
        <v>23</v>
      </c>
      <c r="G33" s="13" t="s">
        <v>55</v>
      </c>
      <c r="H33" s="11" t="s">
        <v>158</v>
      </c>
      <c r="I33" s="11"/>
    </row>
    <row r="34" customFormat="false" ht="23.85" hidden="false" customHeight="false" outlineLevel="0" collapsed="false">
      <c r="A34" s="11" t="n">
        <v>33</v>
      </c>
      <c r="B34" s="11" t="s">
        <v>29</v>
      </c>
      <c r="C34" s="11" t="s">
        <v>149</v>
      </c>
      <c r="D34" s="11" t="s">
        <v>159</v>
      </c>
      <c r="E34" s="11" t="s">
        <v>160</v>
      </c>
      <c r="F34" s="14" t="s">
        <v>23</v>
      </c>
      <c r="G34" s="13" t="s">
        <v>55</v>
      </c>
      <c r="H34" s="11" t="s">
        <v>161</v>
      </c>
      <c r="I34" s="11" t="s">
        <v>162</v>
      </c>
    </row>
    <row r="35" customFormat="false" ht="35.05" hidden="false" customHeight="false" outlineLevel="0" collapsed="false">
      <c r="A35" s="11" t="n">
        <v>34</v>
      </c>
      <c r="B35" s="11" t="s">
        <v>29</v>
      </c>
      <c r="C35" s="11" t="s">
        <v>163</v>
      </c>
      <c r="D35" s="11" t="s">
        <v>164</v>
      </c>
      <c r="E35" s="11" t="s">
        <v>165</v>
      </c>
      <c r="F35" s="12" t="s">
        <v>21</v>
      </c>
      <c r="G35" s="13" t="s">
        <v>55</v>
      </c>
      <c r="H35" s="11" t="s">
        <v>166</v>
      </c>
      <c r="I35" s="11" t="s">
        <v>167</v>
      </c>
    </row>
    <row r="36" customFormat="false" ht="35.05" hidden="false" customHeight="false" outlineLevel="0" collapsed="false">
      <c r="A36" s="11" t="n">
        <v>35</v>
      </c>
      <c r="B36" s="11" t="s">
        <v>29</v>
      </c>
      <c r="C36" s="11" t="s">
        <v>163</v>
      </c>
      <c r="D36" s="11" t="s">
        <v>168</v>
      </c>
      <c r="E36" s="11" t="s">
        <v>165</v>
      </c>
      <c r="F36" s="15" t="s">
        <v>22</v>
      </c>
      <c r="G36" s="13" t="s">
        <v>55</v>
      </c>
      <c r="H36" s="11" t="s">
        <v>169</v>
      </c>
      <c r="I36" s="11" t="s">
        <v>170</v>
      </c>
    </row>
    <row r="37" customFormat="false" ht="35.05" hidden="false" customHeight="false" outlineLevel="0" collapsed="false">
      <c r="A37" s="11" t="n">
        <v>36</v>
      </c>
      <c r="B37" s="11" t="s">
        <v>29</v>
      </c>
      <c r="C37" s="11" t="s">
        <v>163</v>
      </c>
      <c r="D37" s="11" t="s">
        <v>171</v>
      </c>
      <c r="E37" s="11" t="s">
        <v>172</v>
      </c>
      <c r="F37" s="15" t="s">
        <v>22</v>
      </c>
      <c r="G37" s="13" t="s">
        <v>55</v>
      </c>
      <c r="H37" s="11" t="s">
        <v>173</v>
      </c>
      <c r="I37" s="11" t="s">
        <v>174</v>
      </c>
    </row>
    <row r="38" customFormat="false" ht="23.85" hidden="false" customHeight="false" outlineLevel="0" collapsed="false">
      <c r="A38" s="11" t="n">
        <v>37</v>
      </c>
      <c r="B38" s="11" t="s">
        <v>29</v>
      </c>
      <c r="C38" s="11" t="s">
        <v>163</v>
      </c>
      <c r="D38" s="11" t="s">
        <v>175</v>
      </c>
      <c r="E38" s="11" t="s">
        <v>165</v>
      </c>
      <c r="F38" s="16" t="s">
        <v>176</v>
      </c>
      <c r="G38" s="13" t="s">
        <v>55</v>
      </c>
      <c r="H38" s="11" t="s">
        <v>177</v>
      </c>
      <c r="I38" s="11" t="s">
        <v>178</v>
      </c>
    </row>
    <row r="39" customFormat="false" ht="35.05" hidden="false" customHeight="false" outlineLevel="0" collapsed="false">
      <c r="A39" s="11" t="n">
        <v>38</v>
      </c>
      <c r="B39" s="11" t="s">
        <v>29</v>
      </c>
      <c r="C39" s="11" t="s">
        <v>179</v>
      </c>
      <c r="D39" s="11" t="s">
        <v>180</v>
      </c>
      <c r="E39" s="11" t="s">
        <v>181</v>
      </c>
      <c r="F39" s="12" t="s">
        <v>21</v>
      </c>
      <c r="G39" s="13" t="s">
        <v>55</v>
      </c>
      <c r="H39" s="11" t="s">
        <v>182</v>
      </c>
      <c r="I39" s="11" t="s">
        <v>183</v>
      </c>
    </row>
    <row r="40" customFormat="false" ht="23.85" hidden="false" customHeight="false" outlineLevel="0" collapsed="false">
      <c r="A40" s="11" t="n">
        <v>39</v>
      </c>
      <c r="B40" s="11" t="s">
        <v>29</v>
      </c>
      <c r="C40" s="11" t="s">
        <v>184</v>
      </c>
      <c r="D40" s="11" t="s">
        <v>185</v>
      </c>
      <c r="E40" s="11" t="s">
        <v>186</v>
      </c>
      <c r="F40" s="12" t="s">
        <v>21</v>
      </c>
      <c r="G40" s="13" t="s">
        <v>55</v>
      </c>
      <c r="H40" s="11" t="s">
        <v>187</v>
      </c>
      <c r="I40" s="11"/>
    </row>
    <row r="41" customFormat="false" ht="23.85" hidden="false" customHeight="false" outlineLevel="0" collapsed="false">
      <c r="A41" s="11" t="n">
        <v>40</v>
      </c>
      <c r="B41" s="11" t="s">
        <v>29</v>
      </c>
      <c r="C41" s="11" t="s">
        <v>184</v>
      </c>
      <c r="D41" s="11" t="s">
        <v>188</v>
      </c>
      <c r="E41" s="11" t="s">
        <v>186</v>
      </c>
      <c r="F41" s="12" t="s">
        <v>21</v>
      </c>
      <c r="G41" s="13" t="s">
        <v>55</v>
      </c>
      <c r="H41" s="11" t="s">
        <v>189</v>
      </c>
      <c r="I41" s="11" t="s">
        <v>190</v>
      </c>
    </row>
    <row r="42" customFormat="false" ht="35.05" hidden="false" customHeight="false" outlineLevel="0" collapsed="false">
      <c r="A42" s="11" t="n">
        <v>41</v>
      </c>
      <c r="B42" s="11" t="s">
        <v>29</v>
      </c>
      <c r="C42" s="11" t="s">
        <v>184</v>
      </c>
      <c r="D42" s="11" t="s">
        <v>191</v>
      </c>
      <c r="E42" s="11" t="s">
        <v>186</v>
      </c>
      <c r="F42" s="14" t="s">
        <v>23</v>
      </c>
      <c r="G42" s="13" t="s">
        <v>55</v>
      </c>
      <c r="H42" s="11" t="s">
        <v>192</v>
      </c>
      <c r="I42" s="11"/>
    </row>
    <row r="43" customFormat="false" ht="35.05" hidden="false" customHeight="false" outlineLevel="0" collapsed="false">
      <c r="A43" s="11" t="n">
        <v>42</v>
      </c>
      <c r="B43" s="11" t="s">
        <v>29</v>
      </c>
      <c r="C43" s="11" t="s">
        <v>193</v>
      </c>
      <c r="D43" s="11" t="s">
        <v>194</v>
      </c>
      <c r="E43" s="11" t="s">
        <v>195</v>
      </c>
      <c r="F43" s="16" t="s">
        <v>176</v>
      </c>
      <c r="G43" s="13" t="s">
        <v>55</v>
      </c>
      <c r="H43" s="11" t="s">
        <v>196</v>
      </c>
      <c r="I43" s="11" t="s">
        <v>197</v>
      </c>
    </row>
    <row r="44" customFormat="false" ht="35.05" hidden="false" customHeight="false" outlineLevel="0" collapsed="false">
      <c r="A44" s="11" t="n">
        <v>43</v>
      </c>
      <c r="B44" s="11" t="s">
        <v>29</v>
      </c>
      <c r="C44" s="11" t="s">
        <v>198</v>
      </c>
      <c r="D44" s="11" t="s">
        <v>199</v>
      </c>
      <c r="E44" s="11" t="s">
        <v>200</v>
      </c>
      <c r="F44" s="12" t="s">
        <v>21</v>
      </c>
      <c r="G44" s="13" t="s">
        <v>55</v>
      </c>
      <c r="H44" s="11" t="s">
        <v>201</v>
      </c>
      <c r="I44" s="11" t="s">
        <v>202</v>
      </c>
    </row>
    <row r="45" customFormat="false" ht="23.85" hidden="false" customHeight="false" outlineLevel="0" collapsed="false">
      <c r="A45" s="11" t="n">
        <v>44</v>
      </c>
      <c r="B45" s="11" t="s">
        <v>29</v>
      </c>
      <c r="C45" s="11" t="s">
        <v>203</v>
      </c>
      <c r="D45" s="11" t="s">
        <v>204</v>
      </c>
      <c r="E45" s="11" t="s">
        <v>205</v>
      </c>
      <c r="F45" s="14" t="s">
        <v>23</v>
      </c>
      <c r="G45" s="13" t="s">
        <v>55</v>
      </c>
      <c r="H45" s="11" t="s">
        <v>206</v>
      </c>
      <c r="I45" s="11" t="s">
        <v>207</v>
      </c>
    </row>
    <row r="46" customFormat="false" ht="35.05" hidden="false" customHeight="false" outlineLevel="0" collapsed="false">
      <c r="A46" s="11" t="n">
        <v>45</v>
      </c>
      <c r="B46" s="11" t="s">
        <v>30</v>
      </c>
      <c r="C46" s="11" t="s">
        <v>208</v>
      </c>
      <c r="D46" s="11" t="s">
        <v>209</v>
      </c>
      <c r="E46" s="11" t="s">
        <v>208</v>
      </c>
      <c r="F46" s="12" t="s">
        <v>21</v>
      </c>
      <c r="G46" s="13" t="s">
        <v>55</v>
      </c>
      <c r="H46" s="11" t="s">
        <v>210</v>
      </c>
      <c r="I46" s="11"/>
    </row>
    <row r="47" customFormat="false" ht="35.05" hidden="false" customHeight="false" outlineLevel="0" collapsed="false">
      <c r="A47" s="11" t="n">
        <v>46</v>
      </c>
      <c r="B47" s="11" t="s">
        <v>30</v>
      </c>
      <c r="C47" s="11" t="s">
        <v>211</v>
      </c>
      <c r="D47" s="11" t="s">
        <v>212</v>
      </c>
      <c r="E47" s="11" t="s">
        <v>211</v>
      </c>
      <c r="F47" s="12" t="s">
        <v>21</v>
      </c>
      <c r="G47" s="13" t="s">
        <v>55</v>
      </c>
      <c r="H47" s="11" t="s">
        <v>213</v>
      </c>
      <c r="I47" s="11"/>
    </row>
    <row r="48" customFormat="false" ht="23.85" hidden="false" customHeight="false" outlineLevel="0" collapsed="false">
      <c r="A48" s="11" t="n">
        <v>47</v>
      </c>
      <c r="B48" s="11" t="s">
        <v>30</v>
      </c>
      <c r="C48" s="11" t="s">
        <v>214</v>
      </c>
      <c r="D48" s="11" t="s">
        <v>215</v>
      </c>
      <c r="E48" s="11" t="s">
        <v>216</v>
      </c>
      <c r="F48" s="12" t="s">
        <v>21</v>
      </c>
      <c r="G48" s="13" t="s">
        <v>55</v>
      </c>
      <c r="H48" s="11" t="s">
        <v>217</v>
      </c>
      <c r="I48" s="11"/>
    </row>
    <row r="49" customFormat="false" ht="23.85" hidden="false" customHeight="false" outlineLevel="0" collapsed="false">
      <c r="A49" s="11" t="n">
        <v>48</v>
      </c>
      <c r="B49" s="11" t="s">
        <v>30</v>
      </c>
      <c r="C49" s="11" t="s">
        <v>218</v>
      </c>
      <c r="D49" s="11" t="s">
        <v>219</v>
      </c>
      <c r="E49" s="11" t="s">
        <v>216</v>
      </c>
      <c r="F49" s="16" t="s">
        <v>176</v>
      </c>
      <c r="G49" s="13" t="s">
        <v>55</v>
      </c>
      <c r="H49" s="11" t="s">
        <v>220</v>
      </c>
      <c r="I49" s="11" t="s">
        <v>221</v>
      </c>
    </row>
    <row r="50" customFormat="false" ht="23.85" hidden="false" customHeight="false" outlineLevel="0" collapsed="false">
      <c r="A50" s="11" t="n">
        <v>49</v>
      </c>
      <c r="B50" s="11" t="s">
        <v>30</v>
      </c>
      <c r="C50" s="11" t="s">
        <v>222</v>
      </c>
      <c r="D50" s="11" t="s">
        <v>223</v>
      </c>
      <c r="E50" s="11" t="s">
        <v>216</v>
      </c>
      <c r="F50" s="12" t="s">
        <v>21</v>
      </c>
      <c r="G50" s="13" t="s">
        <v>55</v>
      </c>
      <c r="H50" s="11" t="s">
        <v>224</v>
      </c>
      <c r="I50" s="11"/>
    </row>
    <row r="51" customFormat="false" ht="15" hidden="false" customHeight="false" outlineLevel="0" collapsed="false">
      <c r="A51" s="11" t="n">
        <v>50</v>
      </c>
      <c r="B51" s="11" t="s">
        <v>30</v>
      </c>
      <c r="C51" s="11" t="s">
        <v>225</v>
      </c>
      <c r="D51" s="11" t="s">
        <v>226</v>
      </c>
      <c r="E51" s="11" t="s">
        <v>225</v>
      </c>
      <c r="F51" s="12" t="s">
        <v>21</v>
      </c>
      <c r="G51" s="13" t="s">
        <v>55</v>
      </c>
      <c r="H51" s="11" t="s">
        <v>227</v>
      </c>
      <c r="I51" s="11"/>
    </row>
    <row r="52" customFormat="false" ht="35.05" hidden="false" customHeight="false" outlineLevel="0" collapsed="false">
      <c r="A52" s="11" t="n">
        <v>51</v>
      </c>
      <c r="B52" s="11" t="s">
        <v>30</v>
      </c>
      <c r="C52" s="11" t="s">
        <v>225</v>
      </c>
      <c r="D52" s="11" t="s">
        <v>228</v>
      </c>
      <c r="E52" s="11" t="s">
        <v>225</v>
      </c>
      <c r="F52" s="12" t="s">
        <v>21</v>
      </c>
      <c r="G52" s="13" t="s">
        <v>55</v>
      </c>
      <c r="H52" s="11" t="s">
        <v>229</v>
      </c>
      <c r="I52" s="11" t="s">
        <v>230</v>
      </c>
    </row>
    <row r="53" customFormat="false" ht="23.85" hidden="false" customHeight="false" outlineLevel="0" collapsed="false">
      <c r="A53" s="11" t="n">
        <v>52</v>
      </c>
      <c r="B53" s="11" t="s">
        <v>30</v>
      </c>
      <c r="C53" s="11" t="s">
        <v>231</v>
      </c>
      <c r="D53" s="11" t="s">
        <v>232</v>
      </c>
      <c r="E53" s="11" t="s">
        <v>231</v>
      </c>
      <c r="F53" s="12" t="s">
        <v>21</v>
      </c>
      <c r="G53" s="13" t="s">
        <v>55</v>
      </c>
      <c r="H53" s="11" t="s">
        <v>233</v>
      </c>
      <c r="I53" s="11"/>
    </row>
    <row r="54" customFormat="false" ht="23.85" hidden="false" customHeight="false" outlineLevel="0" collapsed="false">
      <c r="A54" s="11" t="n">
        <v>53</v>
      </c>
      <c r="B54" s="11" t="s">
        <v>30</v>
      </c>
      <c r="C54" s="11" t="s">
        <v>231</v>
      </c>
      <c r="D54" s="11" t="s">
        <v>234</v>
      </c>
      <c r="E54" s="11" t="s">
        <v>231</v>
      </c>
      <c r="F54" s="16" t="s">
        <v>176</v>
      </c>
      <c r="G54" s="13" t="s">
        <v>55</v>
      </c>
      <c r="H54" s="11" t="s">
        <v>235</v>
      </c>
      <c r="I54" s="11" t="s">
        <v>236</v>
      </c>
    </row>
    <row r="55" customFormat="false" ht="35.05" hidden="false" customHeight="false" outlineLevel="0" collapsed="false">
      <c r="A55" s="11" t="n">
        <v>54</v>
      </c>
      <c r="B55" s="11" t="s">
        <v>31</v>
      </c>
      <c r="C55" s="11" t="s">
        <v>237</v>
      </c>
      <c r="D55" s="11" t="s">
        <v>238</v>
      </c>
      <c r="E55" s="11" t="s">
        <v>239</v>
      </c>
      <c r="F55" s="12" t="s">
        <v>21</v>
      </c>
      <c r="G55" s="13" t="s">
        <v>55</v>
      </c>
      <c r="H55" s="11" t="s">
        <v>240</v>
      </c>
      <c r="I55" s="11" t="s">
        <v>241</v>
      </c>
    </row>
    <row r="56" customFormat="false" ht="35.05" hidden="false" customHeight="false" outlineLevel="0" collapsed="false">
      <c r="A56" s="11" t="n">
        <v>55</v>
      </c>
      <c r="B56" s="11" t="s">
        <v>31</v>
      </c>
      <c r="C56" s="11" t="s">
        <v>242</v>
      </c>
      <c r="D56" s="11" t="s">
        <v>243</v>
      </c>
      <c r="E56" s="11" t="s">
        <v>244</v>
      </c>
      <c r="F56" s="12" t="s">
        <v>21</v>
      </c>
      <c r="G56" s="13" t="s">
        <v>55</v>
      </c>
      <c r="H56" s="11" t="s">
        <v>245</v>
      </c>
      <c r="I56" s="11" t="s">
        <v>246</v>
      </c>
    </row>
    <row r="57" customFormat="false" ht="23.85" hidden="false" customHeight="false" outlineLevel="0" collapsed="false">
      <c r="A57" s="11" t="n">
        <v>56</v>
      </c>
      <c r="B57" s="11" t="s">
        <v>31</v>
      </c>
      <c r="C57" s="11" t="s">
        <v>247</v>
      </c>
      <c r="D57" s="11" t="s">
        <v>248</v>
      </c>
      <c r="E57" s="11" t="s">
        <v>249</v>
      </c>
      <c r="F57" s="12" t="s">
        <v>21</v>
      </c>
      <c r="G57" s="13" t="s">
        <v>55</v>
      </c>
      <c r="H57" s="11" t="s">
        <v>250</v>
      </c>
      <c r="I57" s="11" t="s">
        <v>251</v>
      </c>
    </row>
    <row r="58" customFormat="false" ht="35.05" hidden="false" customHeight="false" outlineLevel="0" collapsed="false">
      <c r="A58" s="11" t="n">
        <v>57</v>
      </c>
      <c r="B58" s="11" t="s">
        <v>31</v>
      </c>
      <c r="C58" s="11" t="s">
        <v>252</v>
      </c>
      <c r="D58" s="11" t="s">
        <v>253</v>
      </c>
      <c r="E58" s="11" t="s">
        <v>254</v>
      </c>
      <c r="F58" s="12" t="s">
        <v>21</v>
      </c>
      <c r="G58" s="13" t="s">
        <v>55</v>
      </c>
      <c r="H58" s="11" t="s">
        <v>255</v>
      </c>
      <c r="I58" s="11"/>
    </row>
    <row r="59" customFormat="false" ht="35.05" hidden="false" customHeight="false" outlineLevel="0" collapsed="false">
      <c r="A59" s="11" t="n">
        <v>58</v>
      </c>
      <c r="B59" s="11" t="s">
        <v>31</v>
      </c>
      <c r="C59" s="11" t="s">
        <v>256</v>
      </c>
      <c r="D59" s="11" t="s">
        <v>257</v>
      </c>
      <c r="E59" s="11" t="s">
        <v>258</v>
      </c>
      <c r="F59" s="12" t="s">
        <v>21</v>
      </c>
      <c r="G59" s="13" t="s">
        <v>55</v>
      </c>
      <c r="H59" s="11" t="s">
        <v>259</v>
      </c>
      <c r="I59" s="11" t="s">
        <v>260</v>
      </c>
    </row>
    <row r="60" customFormat="false" ht="23.85" hidden="false" customHeight="false" outlineLevel="0" collapsed="false">
      <c r="A60" s="11" t="n">
        <v>59</v>
      </c>
      <c r="B60" s="11" t="s">
        <v>31</v>
      </c>
      <c r="C60" s="11" t="s">
        <v>261</v>
      </c>
      <c r="D60" s="11" t="s">
        <v>262</v>
      </c>
      <c r="E60" s="11" t="s">
        <v>263</v>
      </c>
      <c r="F60" s="12" t="s">
        <v>21</v>
      </c>
      <c r="G60" s="13" t="s">
        <v>55</v>
      </c>
      <c r="H60" s="11" t="s">
        <v>264</v>
      </c>
      <c r="I60" s="11"/>
    </row>
    <row r="61" customFormat="false" ht="23.85" hidden="false" customHeight="false" outlineLevel="0" collapsed="false">
      <c r="A61" s="11" t="n">
        <v>60</v>
      </c>
      <c r="B61" s="11" t="s">
        <v>31</v>
      </c>
      <c r="C61" s="11" t="s">
        <v>265</v>
      </c>
      <c r="D61" s="11" t="s">
        <v>266</v>
      </c>
      <c r="E61" s="11" t="s">
        <v>267</v>
      </c>
      <c r="F61" s="12" t="s">
        <v>21</v>
      </c>
      <c r="G61" s="13" t="s">
        <v>55</v>
      </c>
      <c r="H61" s="11" t="s">
        <v>268</v>
      </c>
      <c r="I61" s="11"/>
    </row>
    <row r="62" customFormat="false" ht="23.85" hidden="false" customHeight="false" outlineLevel="0" collapsed="false">
      <c r="A62" s="11" t="n">
        <v>61</v>
      </c>
      <c r="B62" s="11" t="s">
        <v>31</v>
      </c>
      <c r="C62" s="11" t="s">
        <v>269</v>
      </c>
      <c r="D62" s="11" t="s">
        <v>270</v>
      </c>
      <c r="E62" s="11" t="s">
        <v>271</v>
      </c>
      <c r="F62" s="12" t="s">
        <v>21</v>
      </c>
      <c r="G62" s="13" t="s">
        <v>55</v>
      </c>
      <c r="H62" s="11" t="s">
        <v>272</v>
      </c>
      <c r="I62" s="11"/>
    </row>
    <row r="63" customFormat="false" ht="23.85" hidden="false" customHeight="false" outlineLevel="0" collapsed="false">
      <c r="A63" s="11" t="n">
        <v>62</v>
      </c>
      <c r="B63" s="11" t="s">
        <v>31</v>
      </c>
      <c r="C63" s="11" t="s">
        <v>273</v>
      </c>
      <c r="D63" s="11" t="s">
        <v>274</v>
      </c>
      <c r="E63" s="11" t="s">
        <v>275</v>
      </c>
      <c r="F63" s="12" t="s">
        <v>21</v>
      </c>
      <c r="G63" s="13" t="s">
        <v>55</v>
      </c>
      <c r="H63" s="11" t="s">
        <v>276</v>
      </c>
      <c r="I63" s="11"/>
    </row>
    <row r="64" customFormat="false" ht="23.85" hidden="false" customHeight="false" outlineLevel="0" collapsed="false">
      <c r="A64" s="11" t="n">
        <v>63</v>
      </c>
      <c r="B64" s="11" t="s">
        <v>31</v>
      </c>
      <c r="C64" s="11" t="s">
        <v>277</v>
      </c>
      <c r="D64" s="11" t="s">
        <v>278</v>
      </c>
      <c r="E64" s="11" t="s">
        <v>279</v>
      </c>
      <c r="F64" s="12" t="s">
        <v>21</v>
      </c>
      <c r="G64" s="13" t="s">
        <v>55</v>
      </c>
      <c r="H64" s="11" t="s">
        <v>280</v>
      </c>
      <c r="I64" s="11"/>
    </row>
    <row r="65" customFormat="false" ht="23.85" hidden="false" customHeight="false" outlineLevel="0" collapsed="false">
      <c r="A65" s="11" t="n">
        <v>64</v>
      </c>
      <c r="B65" s="11" t="s">
        <v>31</v>
      </c>
      <c r="C65" s="11" t="s">
        <v>281</v>
      </c>
      <c r="D65" s="11" t="s">
        <v>282</v>
      </c>
      <c r="E65" s="11" t="s">
        <v>283</v>
      </c>
      <c r="F65" s="12" t="s">
        <v>21</v>
      </c>
      <c r="G65" s="13" t="s">
        <v>55</v>
      </c>
      <c r="H65" s="11" t="s">
        <v>284</v>
      </c>
      <c r="I65" s="11"/>
    </row>
    <row r="66" customFormat="false" ht="23.85" hidden="false" customHeight="false" outlineLevel="0" collapsed="false">
      <c r="A66" s="11" t="n">
        <v>65</v>
      </c>
      <c r="B66" s="11" t="s">
        <v>31</v>
      </c>
      <c r="C66" s="11" t="s">
        <v>285</v>
      </c>
      <c r="D66" s="11" t="s">
        <v>286</v>
      </c>
      <c r="E66" s="11" t="s">
        <v>287</v>
      </c>
      <c r="F66" s="12" t="s">
        <v>21</v>
      </c>
      <c r="G66" s="13" t="s">
        <v>55</v>
      </c>
      <c r="H66" s="11" t="s">
        <v>288</v>
      </c>
      <c r="I66" s="11"/>
    </row>
    <row r="67" customFormat="false" ht="23.85" hidden="false" customHeight="false" outlineLevel="0" collapsed="false">
      <c r="A67" s="11" t="n">
        <v>66</v>
      </c>
      <c r="B67" s="11" t="s">
        <v>31</v>
      </c>
      <c r="C67" s="11" t="s">
        <v>289</v>
      </c>
      <c r="D67" s="11" t="s">
        <v>290</v>
      </c>
      <c r="E67" s="11" t="s">
        <v>291</v>
      </c>
      <c r="F67" s="12" t="s">
        <v>21</v>
      </c>
      <c r="G67" s="13" t="s">
        <v>55</v>
      </c>
      <c r="H67" s="11" t="s">
        <v>292</v>
      </c>
      <c r="I67" s="11" t="s">
        <v>293</v>
      </c>
    </row>
    <row r="68" customFormat="false" ht="35.05" hidden="false" customHeight="false" outlineLevel="0" collapsed="false">
      <c r="A68" s="11" t="n">
        <v>67</v>
      </c>
      <c r="B68" s="11" t="s">
        <v>31</v>
      </c>
      <c r="C68" s="11" t="s">
        <v>294</v>
      </c>
      <c r="D68" s="11" t="s">
        <v>295</v>
      </c>
      <c r="E68" s="11" t="s">
        <v>296</v>
      </c>
      <c r="F68" s="15" t="s">
        <v>22</v>
      </c>
      <c r="G68" s="13" t="s">
        <v>55</v>
      </c>
      <c r="H68" s="11" t="s">
        <v>297</v>
      </c>
      <c r="I68" s="11" t="s">
        <v>298</v>
      </c>
    </row>
    <row r="69" customFormat="false" ht="35.05" hidden="false" customHeight="false" outlineLevel="0" collapsed="false">
      <c r="A69" s="11" t="n">
        <v>68</v>
      </c>
      <c r="B69" s="11" t="s">
        <v>31</v>
      </c>
      <c r="C69" s="11" t="s">
        <v>299</v>
      </c>
      <c r="D69" s="11" t="s">
        <v>300</v>
      </c>
      <c r="E69" s="11" t="s">
        <v>301</v>
      </c>
      <c r="F69" s="12" t="s">
        <v>21</v>
      </c>
      <c r="G69" s="13" t="s">
        <v>55</v>
      </c>
      <c r="H69" s="11" t="s">
        <v>302</v>
      </c>
      <c r="I69" s="11"/>
    </row>
    <row r="70" customFormat="false" ht="46.25" hidden="false" customHeight="false" outlineLevel="0" collapsed="false">
      <c r="A70" s="11" t="n">
        <v>69</v>
      </c>
      <c r="B70" s="11" t="s">
        <v>31</v>
      </c>
      <c r="C70" s="11" t="s">
        <v>303</v>
      </c>
      <c r="D70" s="11" t="s">
        <v>304</v>
      </c>
      <c r="E70" s="11" t="s">
        <v>305</v>
      </c>
      <c r="F70" s="15" t="s">
        <v>22</v>
      </c>
      <c r="G70" s="13" t="s">
        <v>55</v>
      </c>
      <c r="H70" s="11" t="s">
        <v>306</v>
      </c>
      <c r="I70" s="11" t="s">
        <v>307</v>
      </c>
    </row>
    <row r="71" customFormat="false" ht="23.85" hidden="false" customHeight="false" outlineLevel="0" collapsed="false">
      <c r="A71" s="11" t="n">
        <v>70</v>
      </c>
      <c r="B71" s="11" t="s">
        <v>31</v>
      </c>
      <c r="C71" s="11" t="s">
        <v>308</v>
      </c>
      <c r="D71" s="11" t="s">
        <v>309</v>
      </c>
      <c r="E71" s="11" t="s">
        <v>310</v>
      </c>
      <c r="F71" s="12" t="s">
        <v>21</v>
      </c>
      <c r="G71" s="13" t="s">
        <v>55</v>
      </c>
      <c r="H71" s="11" t="s">
        <v>311</v>
      </c>
      <c r="I71" s="11"/>
    </row>
    <row r="72" customFormat="false" ht="23.85" hidden="false" customHeight="false" outlineLevel="0" collapsed="false">
      <c r="A72" s="11" t="n">
        <v>71</v>
      </c>
      <c r="B72" s="11" t="s">
        <v>31</v>
      </c>
      <c r="C72" s="11" t="s">
        <v>312</v>
      </c>
      <c r="D72" s="11" t="s">
        <v>313</v>
      </c>
      <c r="E72" s="11" t="s">
        <v>314</v>
      </c>
      <c r="F72" s="15" t="s">
        <v>22</v>
      </c>
      <c r="G72" s="13" t="s">
        <v>55</v>
      </c>
      <c r="H72" s="11" t="s">
        <v>315</v>
      </c>
      <c r="I72" s="11" t="s">
        <v>316</v>
      </c>
    </row>
    <row r="73" customFormat="false" ht="23.85" hidden="false" customHeight="false" outlineLevel="0" collapsed="false">
      <c r="A73" s="11" t="n">
        <v>72</v>
      </c>
      <c r="B73" s="11" t="s">
        <v>31</v>
      </c>
      <c r="C73" s="11" t="s">
        <v>312</v>
      </c>
      <c r="D73" s="11" t="s">
        <v>317</v>
      </c>
      <c r="E73" s="11" t="s">
        <v>314</v>
      </c>
      <c r="F73" s="14" t="s">
        <v>23</v>
      </c>
      <c r="G73" s="13" t="s">
        <v>55</v>
      </c>
      <c r="H73" s="11" t="s">
        <v>318</v>
      </c>
      <c r="I73" s="11"/>
    </row>
    <row r="74" customFormat="false" ht="23.85" hidden="false" customHeight="false" outlineLevel="0" collapsed="false">
      <c r="A74" s="11" t="n">
        <v>73</v>
      </c>
      <c r="B74" s="11" t="s">
        <v>31</v>
      </c>
      <c r="C74" s="11" t="s">
        <v>319</v>
      </c>
      <c r="D74" s="11" t="s">
        <v>320</v>
      </c>
      <c r="E74" s="11" t="s">
        <v>321</v>
      </c>
      <c r="F74" s="12" t="s">
        <v>21</v>
      </c>
      <c r="G74" s="13" t="s">
        <v>55</v>
      </c>
      <c r="H74" s="11" t="s">
        <v>322</v>
      </c>
      <c r="I74" s="11"/>
    </row>
    <row r="75" customFormat="false" ht="23.85" hidden="false" customHeight="false" outlineLevel="0" collapsed="false">
      <c r="A75" s="11" t="n">
        <v>74</v>
      </c>
      <c r="B75" s="11" t="s">
        <v>31</v>
      </c>
      <c r="C75" s="11" t="s">
        <v>323</v>
      </c>
      <c r="D75" s="11" t="s">
        <v>324</v>
      </c>
      <c r="E75" s="11" t="s">
        <v>325</v>
      </c>
      <c r="F75" s="12" t="s">
        <v>21</v>
      </c>
      <c r="G75" s="13" t="s">
        <v>55</v>
      </c>
      <c r="H75" s="11" t="s">
        <v>326</v>
      </c>
      <c r="I75" s="11" t="s">
        <v>327</v>
      </c>
    </row>
    <row r="76" customFormat="false" ht="35.05" hidden="false" customHeight="false" outlineLevel="0" collapsed="false">
      <c r="A76" s="11" t="n">
        <v>75</v>
      </c>
      <c r="B76" s="11" t="s">
        <v>31</v>
      </c>
      <c r="C76" s="11" t="s">
        <v>328</v>
      </c>
      <c r="D76" s="11" t="s">
        <v>329</v>
      </c>
      <c r="E76" s="11" t="s">
        <v>330</v>
      </c>
      <c r="F76" s="12" t="s">
        <v>21</v>
      </c>
      <c r="G76" s="13" t="s">
        <v>55</v>
      </c>
      <c r="H76" s="11" t="s">
        <v>331</v>
      </c>
      <c r="I76" s="11"/>
    </row>
    <row r="77" customFormat="false" ht="35.05" hidden="false" customHeight="false" outlineLevel="0" collapsed="false">
      <c r="A77" s="11" t="n">
        <v>76</v>
      </c>
      <c r="B77" s="11" t="s">
        <v>31</v>
      </c>
      <c r="C77" s="11" t="s">
        <v>332</v>
      </c>
      <c r="D77" s="11" t="s">
        <v>333</v>
      </c>
      <c r="E77" s="11" t="s">
        <v>334</v>
      </c>
      <c r="F77" s="12" t="s">
        <v>21</v>
      </c>
      <c r="G77" s="13" t="s">
        <v>55</v>
      </c>
      <c r="H77" s="11" t="s">
        <v>335</v>
      </c>
      <c r="I77" s="11"/>
    </row>
    <row r="78" customFormat="false" ht="23.85" hidden="false" customHeight="false" outlineLevel="0" collapsed="false">
      <c r="A78" s="11" t="n">
        <v>77</v>
      </c>
      <c r="B78" s="11" t="s">
        <v>31</v>
      </c>
      <c r="C78" s="11" t="s">
        <v>336</v>
      </c>
      <c r="D78" s="11" t="s">
        <v>337</v>
      </c>
      <c r="E78" s="11" t="s">
        <v>334</v>
      </c>
      <c r="F78" s="14" t="s">
        <v>23</v>
      </c>
      <c r="G78" s="13" t="s">
        <v>55</v>
      </c>
      <c r="H78" s="11" t="s">
        <v>338</v>
      </c>
      <c r="I78" s="11" t="s">
        <v>339</v>
      </c>
    </row>
    <row r="79" customFormat="false" ht="35.05" hidden="false" customHeight="false" outlineLevel="0" collapsed="false">
      <c r="A79" s="11" t="n">
        <v>78</v>
      </c>
      <c r="B79" s="11" t="s">
        <v>31</v>
      </c>
      <c r="C79" s="11" t="s">
        <v>340</v>
      </c>
      <c r="D79" s="11" t="s">
        <v>341</v>
      </c>
      <c r="E79" s="11" t="s">
        <v>342</v>
      </c>
      <c r="F79" s="12" t="s">
        <v>21</v>
      </c>
      <c r="G79" s="13" t="s">
        <v>55</v>
      </c>
      <c r="H79" s="11" t="s">
        <v>343</v>
      </c>
      <c r="I79" s="11" t="s">
        <v>344</v>
      </c>
    </row>
    <row r="80" customFormat="false" ht="23.85" hidden="false" customHeight="false" outlineLevel="0" collapsed="false">
      <c r="A80" s="11" t="n">
        <v>79</v>
      </c>
      <c r="B80" s="11" t="s">
        <v>31</v>
      </c>
      <c r="C80" s="11" t="s">
        <v>345</v>
      </c>
      <c r="D80" s="11" t="s">
        <v>346</v>
      </c>
      <c r="E80" s="11" t="s">
        <v>347</v>
      </c>
      <c r="F80" s="15" t="s">
        <v>22</v>
      </c>
      <c r="G80" s="13" t="s">
        <v>55</v>
      </c>
      <c r="H80" s="11" t="s">
        <v>348</v>
      </c>
      <c r="I80" s="11" t="s">
        <v>349</v>
      </c>
    </row>
    <row r="81" customFormat="false" ht="23.85" hidden="false" customHeight="false" outlineLevel="0" collapsed="false">
      <c r="A81" s="11" t="n">
        <v>80</v>
      </c>
      <c r="B81" s="11" t="s">
        <v>31</v>
      </c>
      <c r="C81" s="11" t="s">
        <v>350</v>
      </c>
      <c r="D81" s="11" t="s">
        <v>351</v>
      </c>
      <c r="E81" s="11" t="s">
        <v>352</v>
      </c>
      <c r="F81" s="14" t="s">
        <v>23</v>
      </c>
      <c r="G81" s="13" t="s">
        <v>55</v>
      </c>
      <c r="H81" s="11" t="s">
        <v>353</v>
      </c>
      <c r="I81" s="11" t="s">
        <v>354</v>
      </c>
    </row>
    <row r="82" customFormat="false" ht="23.85" hidden="false" customHeight="false" outlineLevel="0" collapsed="false">
      <c r="A82" s="11" t="n">
        <v>81</v>
      </c>
      <c r="B82" s="11" t="s">
        <v>31</v>
      </c>
      <c r="C82" s="11" t="s">
        <v>355</v>
      </c>
      <c r="D82" s="11" t="s">
        <v>356</v>
      </c>
      <c r="E82" s="11" t="s">
        <v>357</v>
      </c>
      <c r="F82" s="12" t="s">
        <v>21</v>
      </c>
      <c r="G82" s="13" t="s">
        <v>55</v>
      </c>
      <c r="H82" s="11" t="s">
        <v>358</v>
      </c>
      <c r="I82" s="11"/>
    </row>
    <row r="83" customFormat="false" ht="23.85" hidden="false" customHeight="false" outlineLevel="0" collapsed="false">
      <c r="A83" s="11" t="n">
        <v>82</v>
      </c>
      <c r="B83" s="11" t="s">
        <v>31</v>
      </c>
      <c r="C83" s="11" t="s">
        <v>359</v>
      </c>
      <c r="D83" s="11" t="s">
        <v>360</v>
      </c>
      <c r="E83" s="11" t="s">
        <v>361</v>
      </c>
      <c r="F83" s="12" t="s">
        <v>21</v>
      </c>
      <c r="G83" s="13" t="s">
        <v>55</v>
      </c>
      <c r="H83" s="11" t="s">
        <v>362</v>
      </c>
      <c r="I83" s="11"/>
    </row>
    <row r="84" customFormat="false" ht="35.05" hidden="false" customHeight="false" outlineLevel="0" collapsed="false">
      <c r="A84" s="11" t="n">
        <v>83</v>
      </c>
      <c r="B84" s="11" t="s">
        <v>31</v>
      </c>
      <c r="C84" s="11" t="s">
        <v>363</v>
      </c>
      <c r="D84" s="11" t="s">
        <v>364</v>
      </c>
      <c r="E84" s="11" t="s">
        <v>365</v>
      </c>
      <c r="F84" s="12" t="s">
        <v>21</v>
      </c>
      <c r="G84" s="13" t="s">
        <v>55</v>
      </c>
      <c r="H84" s="11" t="s">
        <v>366</v>
      </c>
      <c r="I84" s="11"/>
    </row>
    <row r="85" customFormat="false" ht="35.05" hidden="false" customHeight="false" outlineLevel="0" collapsed="false">
      <c r="A85" s="11" t="n">
        <v>84</v>
      </c>
      <c r="B85" s="11" t="s">
        <v>31</v>
      </c>
      <c r="C85" s="11" t="s">
        <v>367</v>
      </c>
      <c r="D85" s="11" t="s">
        <v>368</v>
      </c>
      <c r="E85" s="11" t="s">
        <v>369</v>
      </c>
      <c r="F85" s="12" t="s">
        <v>21</v>
      </c>
      <c r="G85" s="13" t="s">
        <v>55</v>
      </c>
      <c r="H85" s="11" t="s">
        <v>370</v>
      </c>
      <c r="I85" s="11" t="s">
        <v>371</v>
      </c>
    </row>
    <row r="86" customFormat="false" ht="23.85" hidden="false" customHeight="false" outlineLevel="0" collapsed="false">
      <c r="A86" s="11" t="n">
        <v>85</v>
      </c>
      <c r="B86" s="11" t="s">
        <v>31</v>
      </c>
      <c r="C86" s="11" t="s">
        <v>372</v>
      </c>
      <c r="D86" s="11" t="s">
        <v>373</v>
      </c>
      <c r="E86" s="11" t="s">
        <v>369</v>
      </c>
      <c r="F86" s="12" t="s">
        <v>21</v>
      </c>
      <c r="G86" s="13" t="s">
        <v>55</v>
      </c>
      <c r="H86" s="11" t="s">
        <v>374</v>
      </c>
      <c r="I86" s="11"/>
    </row>
    <row r="87" customFormat="false" ht="23.85" hidden="false" customHeight="false" outlineLevel="0" collapsed="false">
      <c r="A87" s="11" t="n">
        <v>86</v>
      </c>
      <c r="B87" s="11" t="s">
        <v>31</v>
      </c>
      <c r="C87" s="11" t="s">
        <v>375</v>
      </c>
      <c r="D87" s="11" t="s">
        <v>376</v>
      </c>
      <c r="E87" s="11" t="s">
        <v>369</v>
      </c>
      <c r="F87" s="12" t="s">
        <v>21</v>
      </c>
      <c r="G87" s="13" t="s">
        <v>55</v>
      </c>
      <c r="H87" s="11" t="s">
        <v>377</v>
      </c>
      <c r="I87" s="11"/>
    </row>
    <row r="88" customFormat="false" ht="35.05" hidden="false" customHeight="false" outlineLevel="0" collapsed="false">
      <c r="A88" s="11" t="n">
        <v>87</v>
      </c>
      <c r="B88" s="11" t="s">
        <v>31</v>
      </c>
      <c r="C88" s="11" t="s">
        <v>378</v>
      </c>
      <c r="D88" s="11" t="s">
        <v>379</v>
      </c>
      <c r="E88" s="11" t="s">
        <v>369</v>
      </c>
      <c r="F88" s="15" t="s">
        <v>22</v>
      </c>
      <c r="G88" s="13" t="s">
        <v>55</v>
      </c>
      <c r="H88" s="11" t="s">
        <v>380</v>
      </c>
      <c r="I88" s="11" t="s">
        <v>381</v>
      </c>
    </row>
    <row r="89" customFormat="false" ht="23.85" hidden="false" customHeight="false" outlineLevel="0" collapsed="false">
      <c r="A89" s="11" t="n">
        <v>88</v>
      </c>
      <c r="B89" s="11" t="s">
        <v>31</v>
      </c>
      <c r="C89" s="11" t="s">
        <v>382</v>
      </c>
      <c r="D89" s="11" t="s">
        <v>383</v>
      </c>
      <c r="E89" s="11" t="s">
        <v>369</v>
      </c>
      <c r="F89" s="12" t="s">
        <v>21</v>
      </c>
      <c r="G89" s="13" t="s">
        <v>55</v>
      </c>
      <c r="H89" s="11" t="s">
        <v>384</v>
      </c>
      <c r="I89" s="11"/>
    </row>
    <row r="90" customFormat="false" ht="23.85" hidden="false" customHeight="false" outlineLevel="0" collapsed="false">
      <c r="A90" s="11" t="n">
        <v>89</v>
      </c>
      <c r="B90" s="11" t="s">
        <v>31</v>
      </c>
      <c r="C90" s="11" t="s">
        <v>385</v>
      </c>
      <c r="D90" s="11" t="s">
        <v>386</v>
      </c>
      <c r="E90" s="11" t="s">
        <v>369</v>
      </c>
      <c r="F90" s="12" t="s">
        <v>21</v>
      </c>
      <c r="G90" s="13" t="s">
        <v>55</v>
      </c>
      <c r="H90" s="11" t="s">
        <v>387</v>
      </c>
      <c r="I90" s="11"/>
    </row>
    <row r="91" customFormat="false" ht="35.05" hidden="false" customHeight="false" outlineLevel="0" collapsed="false">
      <c r="A91" s="11" t="n">
        <v>90</v>
      </c>
      <c r="B91" s="11" t="s">
        <v>31</v>
      </c>
      <c r="C91" s="11" t="s">
        <v>388</v>
      </c>
      <c r="D91" s="11" t="s">
        <v>389</v>
      </c>
      <c r="E91" s="11" t="s">
        <v>369</v>
      </c>
      <c r="F91" s="12" t="s">
        <v>21</v>
      </c>
      <c r="G91" s="13" t="s">
        <v>55</v>
      </c>
      <c r="H91" s="11" t="s">
        <v>390</v>
      </c>
      <c r="I91" s="11"/>
    </row>
    <row r="92" customFormat="false" ht="23.85" hidden="false" customHeight="false" outlineLevel="0" collapsed="false">
      <c r="A92" s="11" t="n">
        <v>91</v>
      </c>
      <c r="B92" s="11" t="s">
        <v>31</v>
      </c>
      <c r="C92" s="11" t="s">
        <v>391</v>
      </c>
      <c r="D92" s="11" t="s">
        <v>392</v>
      </c>
      <c r="E92" s="11" t="s">
        <v>369</v>
      </c>
      <c r="F92" s="14" t="s">
        <v>23</v>
      </c>
      <c r="G92" s="13" t="s">
        <v>55</v>
      </c>
      <c r="H92" s="11" t="s">
        <v>393</v>
      </c>
      <c r="I92" s="11" t="s">
        <v>394</v>
      </c>
    </row>
    <row r="93" customFormat="false" ht="23.85" hidden="false" customHeight="false" outlineLevel="0" collapsed="false">
      <c r="A93" s="11" t="n">
        <v>92</v>
      </c>
      <c r="B93" s="11" t="s">
        <v>31</v>
      </c>
      <c r="C93" s="11" t="s">
        <v>395</v>
      </c>
      <c r="D93" s="11" t="s">
        <v>396</v>
      </c>
      <c r="E93" s="11" t="s">
        <v>369</v>
      </c>
      <c r="F93" s="14" t="s">
        <v>23</v>
      </c>
      <c r="G93" s="13" t="s">
        <v>55</v>
      </c>
      <c r="H93" s="11" t="s">
        <v>397</v>
      </c>
      <c r="I93" s="11"/>
    </row>
    <row r="94" customFormat="false" ht="35.05" hidden="false" customHeight="false" outlineLevel="0" collapsed="false">
      <c r="A94" s="11" t="n">
        <v>93</v>
      </c>
      <c r="B94" s="11" t="s">
        <v>31</v>
      </c>
      <c r="C94" s="11" t="s">
        <v>398</v>
      </c>
      <c r="D94" s="11" t="s">
        <v>399</v>
      </c>
      <c r="E94" s="11" t="s">
        <v>400</v>
      </c>
      <c r="F94" s="15" t="s">
        <v>22</v>
      </c>
      <c r="G94" s="13" t="s">
        <v>55</v>
      </c>
      <c r="H94" s="11" t="s">
        <v>401</v>
      </c>
      <c r="I94" s="11" t="s">
        <v>402</v>
      </c>
    </row>
    <row r="95" customFormat="false" ht="35.05" hidden="false" customHeight="false" outlineLevel="0" collapsed="false">
      <c r="A95" s="11" t="n">
        <v>94</v>
      </c>
      <c r="B95" s="11" t="s">
        <v>31</v>
      </c>
      <c r="C95" s="11" t="s">
        <v>403</v>
      </c>
      <c r="D95" s="11" t="s">
        <v>404</v>
      </c>
      <c r="E95" s="11" t="s">
        <v>405</v>
      </c>
      <c r="F95" s="14" t="s">
        <v>23</v>
      </c>
      <c r="G95" s="13" t="s">
        <v>55</v>
      </c>
      <c r="H95" s="11" t="s">
        <v>406</v>
      </c>
      <c r="I95" s="11"/>
    </row>
    <row r="96" customFormat="false" ht="35.05" hidden="false" customHeight="false" outlineLevel="0" collapsed="false">
      <c r="A96" s="11" t="n">
        <v>95</v>
      </c>
      <c r="B96" s="11" t="s">
        <v>32</v>
      </c>
      <c r="C96" s="11" t="s">
        <v>407</v>
      </c>
      <c r="D96" s="11" t="s">
        <v>408</v>
      </c>
      <c r="E96" s="11" t="s">
        <v>409</v>
      </c>
      <c r="F96" s="15" t="s">
        <v>22</v>
      </c>
      <c r="G96" s="13" t="s">
        <v>55</v>
      </c>
      <c r="H96" s="11" t="s">
        <v>410</v>
      </c>
      <c r="I96" s="11" t="s">
        <v>411</v>
      </c>
    </row>
    <row r="97" customFormat="false" ht="35.05" hidden="false" customHeight="false" outlineLevel="0" collapsed="false">
      <c r="A97" s="11" t="n">
        <v>96</v>
      </c>
      <c r="B97" s="11" t="s">
        <v>32</v>
      </c>
      <c r="C97" s="11" t="s">
        <v>412</v>
      </c>
      <c r="D97" s="11" t="s">
        <v>413</v>
      </c>
      <c r="E97" s="11" t="s">
        <v>414</v>
      </c>
      <c r="F97" s="12" t="s">
        <v>21</v>
      </c>
      <c r="G97" s="13" t="s">
        <v>55</v>
      </c>
      <c r="H97" s="11" t="s">
        <v>415</v>
      </c>
      <c r="I97" s="11"/>
    </row>
    <row r="98" customFormat="false" ht="35.05" hidden="false" customHeight="false" outlineLevel="0" collapsed="false">
      <c r="A98" s="11" t="n">
        <v>97</v>
      </c>
      <c r="B98" s="11" t="s">
        <v>32</v>
      </c>
      <c r="C98" s="11" t="s">
        <v>416</v>
      </c>
      <c r="D98" s="11" t="s">
        <v>417</v>
      </c>
      <c r="E98" s="11" t="s">
        <v>418</v>
      </c>
      <c r="F98" s="12" t="s">
        <v>21</v>
      </c>
      <c r="G98" s="13" t="s">
        <v>55</v>
      </c>
      <c r="H98" s="11" t="s">
        <v>419</v>
      </c>
      <c r="I98" s="11" t="s">
        <v>420</v>
      </c>
    </row>
    <row r="99" customFormat="false" ht="23.85" hidden="false" customHeight="false" outlineLevel="0" collapsed="false">
      <c r="A99" s="11" t="n">
        <v>98</v>
      </c>
      <c r="B99" s="11" t="s">
        <v>32</v>
      </c>
      <c r="C99" s="11" t="s">
        <v>421</v>
      </c>
      <c r="D99" s="11" t="s">
        <v>422</v>
      </c>
      <c r="E99" s="11" t="s">
        <v>423</v>
      </c>
      <c r="F99" s="12" t="s">
        <v>21</v>
      </c>
      <c r="G99" s="13" t="s">
        <v>55</v>
      </c>
      <c r="H99" s="11" t="s">
        <v>424</v>
      </c>
      <c r="I99" s="11"/>
    </row>
    <row r="100" customFormat="false" ht="23.85" hidden="false" customHeight="false" outlineLevel="0" collapsed="false">
      <c r="A100" s="11" t="n">
        <v>99</v>
      </c>
      <c r="B100" s="11" t="s">
        <v>32</v>
      </c>
      <c r="C100" s="11" t="s">
        <v>425</v>
      </c>
      <c r="D100" s="11" t="s">
        <v>426</v>
      </c>
      <c r="E100" s="11" t="s">
        <v>427</v>
      </c>
      <c r="F100" s="12" t="s">
        <v>21</v>
      </c>
      <c r="G100" s="13" t="s">
        <v>55</v>
      </c>
      <c r="H100" s="11" t="s">
        <v>428</v>
      </c>
      <c r="I100" s="11"/>
    </row>
    <row r="101" customFormat="false" ht="35.05" hidden="false" customHeight="false" outlineLevel="0" collapsed="false">
      <c r="A101" s="11" t="n">
        <v>100</v>
      </c>
      <c r="B101" s="11" t="s">
        <v>32</v>
      </c>
      <c r="C101" s="11" t="s">
        <v>429</v>
      </c>
      <c r="D101" s="11" t="s">
        <v>430</v>
      </c>
      <c r="E101" s="11" t="s">
        <v>431</v>
      </c>
      <c r="F101" s="15" t="s">
        <v>22</v>
      </c>
      <c r="G101" s="13" t="s">
        <v>55</v>
      </c>
      <c r="H101" s="11" t="s">
        <v>432</v>
      </c>
      <c r="I101" s="11" t="s">
        <v>433</v>
      </c>
    </row>
    <row r="102" customFormat="false" ht="23.85" hidden="false" customHeight="false" outlineLevel="0" collapsed="false">
      <c r="A102" s="11" t="n">
        <v>101</v>
      </c>
      <c r="B102" s="11" t="s">
        <v>32</v>
      </c>
      <c r="C102" s="11" t="s">
        <v>434</v>
      </c>
      <c r="D102" s="11" t="s">
        <v>435</v>
      </c>
      <c r="E102" s="11" t="s">
        <v>436</v>
      </c>
      <c r="F102" s="17" t="s">
        <v>437</v>
      </c>
      <c r="G102" s="13" t="s">
        <v>55</v>
      </c>
      <c r="H102" s="11" t="s">
        <v>438</v>
      </c>
      <c r="I102" s="11" t="s">
        <v>439</v>
      </c>
    </row>
    <row r="103" customFormat="false" ht="46.25" hidden="false" customHeight="false" outlineLevel="0" collapsed="false">
      <c r="A103" s="11" t="n">
        <v>102</v>
      </c>
      <c r="B103" s="11" t="s">
        <v>32</v>
      </c>
      <c r="C103" s="11" t="s">
        <v>440</v>
      </c>
      <c r="D103" s="11" t="s">
        <v>441</v>
      </c>
      <c r="E103" s="11" t="s">
        <v>442</v>
      </c>
      <c r="F103" s="12" t="s">
        <v>21</v>
      </c>
      <c r="G103" s="13" t="s">
        <v>55</v>
      </c>
      <c r="H103" s="11" t="s">
        <v>443</v>
      </c>
      <c r="I103" s="11"/>
    </row>
    <row r="104" customFormat="false" ht="23.85" hidden="false" customHeight="false" outlineLevel="0" collapsed="false">
      <c r="A104" s="11" t="n">
        <v>103</v>
      </c>
      <c r="B104" s="11" t="s">
        <v>33</v>
      </c>
      <c r="C104" s="11" t="s">
        <v>444</v>
      </c>
      <c r="D104" s="11" t="s">
        <v>445</v>
      </c>
      <c r="E104" s="11" t="s">
        <v>446</v>
      </c>
      <c r="F104" s="12" t="s">
        <v>21</v>
      </c>
      <c r="G104" s="13" t="s">
        <v>55</v>
      </c>
      <c r="H104" s="11" t="s">
        <v>447</v>
      </c>
      <c r="I104" s="11"/>
    </row>
    <row r="105" customFormat="false" ht="46.25" hidden="false" customHeight="false" outlineLevel="0" collapsed="false">
      <c r="A105" s="11" t="n">
        <v>104</v>
      </c>
      <c r="B105" s="11" t="s">
        <v>33</v>
      </c>
      <c r="C105" s="11" t="s">
        <v>448</v>
      </c>
      <c r="D105" s="11" t="s">
        <v>449</v>
      </c>
      <c r="E105" s="11" t="s">
        <v>450</v>
      </c>
      <c r="F105" s="12" t="s">
        <v>21</v>
      </c>
      <c r="G105" s="13" t="s">
        <v>55</v>
      </c>
      <c r="H105" s="11" t="s">
        <v>451</v>
      </c>
      <c r="I105" s="11" t="s">
        <v>452</v>
      </c>
    </row>
    <row r="106" customFormat="false" ht="35.05" hidden="false" customHeight="false" outlineLevel="0" collapsed="false">
      <c r="A106" s="11" t="n">
        <v>105</v>
      </c>
      <c r="B106" s="11" t="s">
        <v>33</v>
      </c>
      <c r="C106" s="11" t="s">
        <v>453</v>
      </c>
      <c r="D106" s="11" t="s">
        <v>454</v>
      </c>
      <c r="E106" s="11" t="s">
        <v>455</v>
      </c>
      <c r="F106" s="12" t="s">
        <v>21</v>
      </c>
      <c r="G106" s="13" t="s">
        <v>55</v>
      </c>
      <c r="H106" s="11" t="s">
        <v>456</v>
      </c>
      <c r="I106" s="11" t="s">
        <v>457</v>
      </c>
    </row>
    <row r="107" customFormat="false" ht="35.05" hidden="false" customHeight="false" outlineLevel="0" collapsed="false">
      <c r="A107" s="11" t="n">
        <v>106</v>
      </c>
      <c r="B107" s="11" t="s">
        <v>33</v>
      </c>
      <c r="C107" s="11" t="s">
        <v>458</v>
      </c>
      <c r="D107" s="11" t="s">
        <v>459</v>
      </c>
      <c r="E107" s="11" t="s">
        <v>460</v>
      </c>
      <c r="F107" s="12" t="s">
        <v>21</v>
      </c>
      <c r="G107" s="13" t="s">
        <v>55</v>
      </c>
      <c r="H107" s="11" t="s">
        <v>461</v>
      </c>
      <c r="I107" s="11"/>
    </row>
    <row r="108" customFormat="false" ht="46.25" hidden="false" customHeight="false" outlineLevel="0" collapsed="false">
      <c r="A108" s="11" t="n">
        <v>107</v>
      </c>
      <c r="B108" s="11" t="s">
        <v>33</v>
      </c>
      <c r="C108" s="11" t="s">
        <v>462</v>
      </c>
      <c r="D108" s="11" t="s">
        <v>463</v>
      </c>
      <c r="E108" s="11" t="s">
        <v>464</v>
      </c>
      <c r="F108" s="15" t="s">
        <v>22</v>
      </c>
      <c r="G108" s="13" t="s">
        <v>55</v>
      </c>
      <c r="H108" s="11" t="s">
        <v>465</v>
      </c>
      <c r="I108" s="11" t="s">
        <v>466</v>
      </c>
    </row>
    <row r="109" customFormat="false" ht="23.85" hidden="false" customHeight="false" outlineLevel="0" collapsed="false">
      <c r="A109" s="11" t="n">
        <v>108</v>
      </c>
      <c r="B109" s="11" t="s">
        <v>33</v>
      </c>
      <c r="C109" s="11" t="s">
        <v>467</v>
      </c>
      <c r="D109" s="11" t="s">
        <v>468</v>
      </c>
      <c r="E109" s="11" t="s">
        <v>469</v>
      </c>
      <c r="F109" s="12" t="s">
        <v>21</v>
      </c>
      <c r="G109" s="13" t="s">
        <v>55</v>
      </c>
      <c r="H109" s="11" t="s">
        <v>470</v>
      </c>
      <c r="I109" s="11" t="s">
        <v>471</v>
      </c>
    </row>
    <row r="110" customFormat="false" ht="23.85" hidden="false" customHeight="false" outlineLevel="0" collapsed="false">
      <c r="A110" s="11" t="n">
        <v>109</v>
      </c>
      <c r="B110" s="11" t="s">
        <v>34</v>
      </c>
      <c r="C110" s="11" t="s">
        <v>472</v>
      </c>
      <c r="D110" s="11" t="s">
        <v>473</v>
      </c>
      <c r="E110" s="11" t="s">
        <v>474</v>
      </c>
      <c r="F110" s="12" t="s">
        <v>21</v>
      </c>
      <c r="G110" s="13" t="s">
        <v>55</v>
      </c>
      <c r="H110" s="11" t="s">
        <v>475</v>
      </c>
      <c r="I110" s="11"/>
    </row>
    <row r="111" customFormat="false" ht="23.85" hidden="false" customHeight="false" outlineLevel="0" collapsed="false">
      <c r="A111" s="11" t="n">
        <v>110</v>
      </c>
      <c r="B111" s="11" t="s">
        <v>34</v>
      </c>
      <c r="C111" s="11" t="s">
        <v>472</v>
      </c>
      <c r="D111" s="11" t="s">
        <v>476</v>
      </c>
      <c r="E111" s="11" t="s">
        <v>474</v>
      </c>
      <c r="F111" s="12" t="s">
        <v>21</v>
      </c>
      <c r="G111" s="13" t="s">
        <v>55</v>
      </c>
      <c r="H111" s="11" t="s">
        <v>477</v>
      </c>
      <c r="I111" s="11"/>
    </row>
    <row r="112" customFormat="false" ht="23.85" hidden="false" customHeight="false" outlineLevel="0" collapsed="false">
      <c r="A112" s="11" t="n">
        <v>111</v>
      </c>
      <c r="B112" s="11" t="s">
        <v>34</v>
      </c>
      <c r="C112" s="11" t="s">
        <v>472</v>
      </c>
      <c r="D112" s="11" t="s">
        <v>478</v>
      </c>
      <c r="E112" s="11" t="s">
        <v>474</v>
      </c>
      <c r="F112" s="12" t="s">
        <v>21</v>
      </c>
      <c r="G112" s="13" t="s">
        <v>55</v>
      </c>
      <c r="H112" s="11" t="s">
        <v>479</v>
      </c>
      <c r="I112" s="11" t="s">
        <v>480</v>
      </c>
    </row>
    <row r="113" customFormat="false" ht="23.85" hidden="false" customHeight="false" outlineLevel="0" collapsed="false">
      <c r="A113" s="11" t="n">
        <v>112</v>
      </c>
      <c r="B113" s="11" t="s">
        <v>34</v>
      </c>
      <c r="C113" s="11" t="s">
        <v>481</v>
      </c>
      <c r="D113" s="11" t="s">
        <v>482</v>
      </c>
      <c r="E113" s="11" t="s">
        <v>483</v>
      </c>
      <c r="F113" s="12" t="s">
        <v>21</v>
      </c>
      <c r="G113" s="13" t="s">
        <v>55</v>
      </c>
      <c r="H113" s="11" t="s">
        <v>484</v>
      </c>
      <c r="I113" s="11"/>
    </row>
    <row r="114" customFormat="false" ht="23.85" hidden="false" customHeight="false" outlineLevel="0" collapsed="false">
      <c r="A114" s="11" t="n">
        <v>113</v>
      </c>
      <c r="B114" s="11" t="s">
        <v>34</v>
      </c>
      <c r="C114" s="11" t="s">
        <v>485</v>
      </c>
      <c r="D114" s="11" t="s">
        <v>486</v>
      </c>
      <c r="E114" s="11" t="s">
        <v>483</v>
      </c>
      <c r="F114" s="16" t="s">
        <v>176</v>
      </c>
      <c r="G114" s="13" t="s">
        <v>55</v>
      </c>
      <c r="H114" s="11" t="s">
        <v>487</v>
      </c>
      <c r="I114" s="11" t="s">
        <v>488</v>
      </c>
    </row>
    <row r="115" customFormat="false" ht="35.05" hidden="false" customHeight="false" outlineLevel="0" collapsed="false">
      <c r="A115" s="11" t="n">
        <v>114</v>
      </c>
      <c r="B115" s="11" t="s">
        <v>34</v>
      </c>
      <c r="C115" s="11" t="s">
        <v>489</v>
      </c>
      <c r="D115" s="11" t="s">
        <v>490</v>
      </c>
      <c r="E115" s="11" t="s">
        <v>491</v>
      </c>
      <c r="F115" s="12" t="s">
        <v>21</v>
      </c>
      <c r="G115" s="13" t="s">
        <v>55</v>
      </c>
      <c r="H115" s="11" t="s">
        <v>492</v>
      </c>
      <c r="I115" s="11" t="s">
        <v>493</v>
      </c>
    </row>
    <row r="116" customFormat="false" ht="23.85" hidden="false" customHeight="false" outlineLevel="0" collapsed="false">
      <c r="A116" s="11" t="n">
        <v>115</v>
      </c>
      <c r="B116" s="11" t="s">
        <v>34</v>
      </c>
      <c r="C116" s="11" t="s">
        <v>489</v>
      </c>
      <c r="D116" s="11" t="s">
        <v>494</v>
      </c>
      <c r="E116" s="11" t="s">
        <v>491</v>
      </c>
      <c r="F116" s="12" t="s">
        <v>21</v>
      </c>
      <c r="G116" s="13" t="s">
        <v>55</v>
      </c>
      <c r="H116" s="11" t="s">
        <v>495</v>
      </c>
      <c r="I116" s="11"/>
    </row>
    <row r="117" customFormat="false" ht="23.85" hidden="false" customHeight="false" outlineLevel="0" collapsed="false">
      <c r="A117" s="11" t="n">
        <v>116</v>
      </c>
      <c r="B117" s="11" t="s">
        <v>34</v>
      </c>
      <c r="C117" s="11" t="s">
        <v>489</v>
      </c>
      <c r="D117" s="11" t="s">
        <v>496</v>
      </c>
      <c r="E117" s="11" t="s">
        <v>491</v>
      </c>
      <c r="F117" s="12" t="s">
        <v>21</v>
      </c>
      <c r="G117" s="13" t="s">
        <v>55</v>
      </c>
      <c r="H117" s="11" t="s">
        <v>497</v>
      </c>
      <c r="I117" s="11"/>
    </row>
    <row r="118" customFormat="false" ht="23.85" hidden="false" customHeight="false" outlineLevel="0" collapsed="false">
      <c r="A118" s="11" t="n">
        <v>117</v>
      </c>
      <c r="B118" s="11" t="s">
        <v>34</v>
      </c>
      <c r="C118" s="11" t="s">
        <v>498</v>
      </c>
      <c r="D118" s="11" t="s">
        <v>499</v>
      </c>
      <c r="E118" s="11" t="s">
        <v>500</v>
      </c>
      <c r="F118" s="12" t="s">
        <v>21</v>
      </c>
      <c r="G118" s="13" t="s">
        <v>55</v>
      </c>
      <c r="H118" s="11" t="s">
        <v>501</v>
      </c>
      <c r="I118" s="11"/>
    </row>
    <row r="119" customFormat="false" ht="23.85" hidden="false" customHeight="false" outlineLevel="0" collapsed="false">
      <c r="A119" s="11" t="n">
        <v>118</v>
      </c>
      <c r="B119" s="11" t="s">
        <v>34</v>
      </c>
      <c r="C119" s="11" t="s">
        <v>498</v>
      </c>
      <c r="D119" s="11" t="s">
        <v>502</v>
      </c>
      <c r="E119" s="11" t="s">
        <v>500</v>
      </c>
      <c r="F119" s="12" t="s">
        <v>21</v>
      </c>
      <c r="G119" s="13" t="s">
        <v>55</v>
      </c>
      <c r="H119" s="11" t="s">
        <v>503</v>
      </c>
      <c r="I119" s="11"/>
    </row>
    <row r="120" customFormat="false" ht="23.85" hidden="false" customHeight="false" outlineLevel="0" collapsed="false">
      <c r="A120" s="11" t="n">
        <v>119</v>
      </c>
      <c r="B120" s="11" t="s">
        <v>34</v>
      </c>
      <c r="C120" s="11" t="s">
        <v>498</v>
      </c>
      <c r="D120" s="11" t="s">
        <v>504</v>
      </c>
      <c r="E120" s="11" t="s">
        <v>500</v>
      </c>
      <c r="F120" s="12" t="s">
        <v>21</v>
      </c>
      <c r="G120" s="13" t="s">
        <v>55</v>
      </c>
      <c r="H120" s="11" t="s">
        <v>505</v>
      </c>
      <c r="I120" s="11" t="s">
        <v>506</v>
      </c>
    </row>
    <row r="121" customFormat="false" ht="23.85" hidden="false" customHeight="false" outlineLevel="0" collapsed="false">
      <c r="A121" s="11" t="n">
        <v>120</v>
      </c>
      <c r="B121" s="11" t="s">
        <v>34</v>
      </c>
      <c r="C121" s="11" t="s">
        <v>498</v>
      </c>
      <c r="D121" s="11" t="s">
        <v>507</v>
      </c>
      <c r="E121" s="11" t="s">
        <v>500</v>
      </c>
      <c r="F121" s="12" t="s">
        <v>21</v>
      </c>
      <c r="G121" s="13" t="s">
        <v>55</v>
      </c>
      <c r="H121" s="11" t="s">
        <v>508</v>
      </c>
      <c r="I121" s="11"/>
    </row>
    <row r="122" customFormat="false" ht="23.85" hidden="false" customHeight="false" outlineLevel="0" collapsed="false">
      <c r="A122" s="11" t="n">
        <v>121</v>
      </c>
      <c r="B122" s="11" t="s">
        <v>34</v>
      </c>
      <c r="C122" s="11" t="s">
        <v>509</v>
      </c>
      <c r="D122" s="11" t="s">
        <v>510</v>
      </c>
      <c r="E122" s="11" t="s">
        <v>511</v>
      </c>
      <c r="F122" s="15" t="s">
        <v>22</v>
      </c>
      <c r="G122" s="13" t="s">
        <v>55</v>
      </c>
      <c r="H122" s="11" t="s">
        <v>512</v>
      </c>
      <c r="I122" s="11" t="s">
        <v>513</v>
      </c>
    </row>
    <row r="123" customFormat="false" ht="23.85" hidden="false" customHeight="false" outlineLevel="0" collapsed="false">
      <c r="A123" s="11" t="n">
        <v>122</v>
      </c>
      <c r="B123" s="11" t="s">
        <v>34</v>
      </c>
      <c r="C123" s="11" t="s">
        <v>509</v>
      </c>
      <c r="D123" s="11" t="s">
        <v>514</v>
      </c>
      <c r="E123" s="11" t="s">
        <v>511</v>
      </c>
      <c r="F123" s="12" t="s">
        <v>21</v>
      </c>
      <c r="G123" s="13" t="s">
        <v>55</v>
      </c>
      <c r="H123" s="11" t="s">
        <v>515</v>
      </c>
      <c r="I123" s="11"/>
    </row>
    <row r="124" customFormat="false" ht="35.05" hidden="false" customHeight="false" outlineLevel="0" collapsed="false">
      <c r="A124" s="11" t="n">
        <v>123</v>
      </c>
      <c r="B124" s="11" t="s">
        <v>35</v>
      </c>
      <c r="C124" s="11" t="s">
        <v>516</v>
      </c>
      <c r="D124" s="11" t="s">
        <v>517</v>
      </c>
      <c r="E124" s="11" t="s">
        <v>518</v>
      </c>
      <c r="F124" s="15" t="s">
        <v>22</v>
      </c>
      <c r="G124" s="13" t="s">
        <v>55</v>
      </c>
      <c r="H124" s="11" t="s">
        <v>519</v>
      </c>
      <c r="I124" s="11" t="s">
        <v>520</v>
      </c>
    </row>
    <row r="125" customFormat="false" ht="23.85" hidden="false" customHeight="false" outlineLevel="0" collapsed="false">
      <c r="A125" s="11" t="n">
        <v>124</v>
      </c>
      <c r="B125" s="11" t="s">
        <v>35</v>
      </c>
      <c r="C125" s="11" t="s">
        <v>521</v>
      </c>
      <c r="D125" s="11" t="s">
        <v>522</v>
      </c>
      <c r="E125" s="11" t="s">
        <v>518</v>
      </c>
      <c r="F125" s="12" t="s">
        <v>21</v>
      </c>
      <c r="G125" s="13" t="s">
        <v>55</v>
      </c>
      <c r="H125" s="11" t="s">
        <v>523</v>
      </c>
      <c r="I125" s="11"/>
    </row>
    <row r="126" customFormat="false" ht="35.05" hidden="false" customHeight="false" outlineLevel="0" collapsed="false">
      <c r="A126" s="11" t="n">
        <v>125</v>
      </c>
      <c r="B126" s="11" t="s">
        <v>35</v>
      </c>
      <c r="C126" s="11" t="s">
        <v>524</v>
      </c>
      <c r="D126" s="11" t="s">
        <v>525</v>
      </c>
      <c r="E126" s="11" t="s">
        <v>518</v>
      </c>
      <c r="F126" s="14" t="s">
        <v>23</v>
      </c>
      <c r="G126" s="13" t="s">
        <v>55</v>
      </c>
      <c r="H126" s="11" t="s">
        <v>526</v>
      </c>
      <c r="I126" s="11" t="s">
        <v>527</v>
      </c>
    </row>
    <row r="127" customFormat="false" ht="35.05" hidden="false" customHeight="false" outlineLevel="0" collapsed="false">
      <c r="A127" s="11" t="n">
        <v>126</v>
      </c>
      <c r="B127" s="11" t="s">
        <v>35</v>
      </c>
      <c r="C127" s="11" t="s">
        <v>528</v>
      </c>
      <c r="D127" s="11" t="s">
        <v>529</v>
      </c>
      <c r="E127" s="11" t="s">
        <v>518</v>
      </c>
      <c r="F127" s="14" t="s">
        <v>23</v>
      </c>
      <c r="G127" s="13" t="s">
        <v>55</v>
      </c>
      <c r="H127" s="11" t="s">
        <v>530</v>
      </c>
      <c r="I127" s="11"/>
    </row>
    <row r="128" customFormat="false" ht="35.05" hidden="false" customHeight="false" outlineLevel="0" collapsed="false">
      <c r="A128" s="11" t="n">
        <v>127</v>
      </c>
      <c r="B128" s="11" t="s">
        <v>35</v>
      </c>
      <c r="C128" s="11" t="s">
        <v>531</v>
      </c>
      <c r="D128" s="11" t="s">
        <v>532</v>
      </c>
      <c r="E128" s="11" t="s">
        <v>533</v>
      </c>
      <c r="F128" s="15" t="s">
        <v>22</v>
      </c>
      <c r="G128" s="13" t="s">
        <v>55</v>
      </c>
      <c r="H128" s="11" t="s">
        <v>534</v>
      </c>
      <c r="I128" s="11" t="s">
        <v>535</v>
      </c>
    </row>
    <row r="129" customFormat="false" ht="23.85" hidden="false" customHeight="false" outlineLevel="0" collapsed="false">
      <c r="A129" s="11" t="n">
        <v>128</v>
      </c>
      <c r="B129" s="11" t="s">
        <v>35</v>
      </c>
      <c r="C129" s="11" t="s">
        <v>536</v>
      </c>
      <c r="D129" s="11" t="s">
        <v>537</v>
      </c>
      <c r="E129" s="11" t="s">
        <v>538</v>
      </c>
      <c r="F129" s="15" t="s">
        <v>22</v>
      </c>
      <c r="G129" s="13" t="s">
        <v>55</v>
      </c>
      <c r="H129" s="11" t="s">
        <v>539</v>
      </c>
      <c r="I129" s="11" t="s">
        <v>540</v>
      </c>
    </row>
    <row r="130" customFormat="false" ht="35.05" hidden="false" customHeight="false" outlineLevel="0" collapsed="false">
      <c r="A130" s="11" t="n">
        <v>129</v>
      </c>
      <c r="B130" s="11" t="s">
        <v>35</v>
      </c>
      <c r="C130" s="11" t="s">
        <v>541</v>
      </c>
      <c r="D130" s="11" t="s">
        <v>542</v>
      </c>
      <c r="E130" s="11" t="s">
        <v>538</v>
      </c>
      <c r="F130" s="15" t="s">
        <v>22</v>
      </c>
      <c r="G130" s="13" t="s">
        <v>55</v>
      </c>
      <c r="H130" s="11" t="s">
        <v>543</v>
      </c>
      <c r="I130" s="11"/>
    </row>
    <row r="131" customFormat="false" ht="23.85" hidden="false" customHeight="false" outlineLevel="0" collapsed="false">
      <c r="A131" s="11" t="n">
        <v>130</v>
      </c>
      <c r="B131" s="11" t="s">
        <v>35</v>
      </c>
      <c r="C131" s="11" t="s">
        <v>544</v>
      </c>
      <c r="D131" s="11" t="s">
        <v>545</v>
      </c>
      <c r="E131" s="11" t="s">
        <v>538</v>
      </c>
      <c r="F131" s="12" t="s">
        <v>21</v>
      </c>
      <c r="G131" s="13" t="s">
        <v>55</v>
      </c>
      <c r="H131" s="11" t="s">
        <v>546</v>
      </c>
      <c r="I131" s="11"/>
    </row>
    <row r="132" customFormat="false" ht="23.85" hidden="false" customHeight="false" outlineLevel="0" collapsed="false">
      <c r="A132" s="11" t="n">
        <v>131</v>
      </c>
      <c r="B132" s="11" t="s">
        <v>35</v>
      </c>
      <c r="C132" s="11" t="s">
        <v>547</v>
      </c>
      <c r="D132" s="11" t="s">
        <v>548</v>
      </c>
      <c r="E132" s="11" t="s">
        <v>549</v>
      </c>
      <c r="F132" s="15" t="s">
        <v>22</v>
      </c>
      <c r="G132" s="13" t="s">
        <v>55</v>
      </c>
      <c r="H132" s="11" t="s">
        <v>550</v>
      </c>
      <c r="I132" s="11" t="s">
        <v>551</v>
      </c>
    </row>
    <row r="133" customFormat="false" ht="35.05" hidden="false" customHeight="false" outlineLevel="0" collapsed="false">
      <c r="A133" s="11" t="n">
        <v>132</v>
      </c>
      <c r="B133" s="11" t="s">
        <v>35</v>
      </c>
      <c r="C133" s="11" t="s">
        <v>552</v>
      </c>
      <c r="D133" s="11" t="s">
        <v>553</v>
      </c>
      <c r="E133" s="11" t="s">
        <v>554</v>
      </c>
      <c r="F133" s="14" t="s">
        <v>23</v>
      </c>
      <c r="G133" s="13" t="s">
        <v>55</v>
      </c>
      <c r="H133" s="11" t="s">
        <v>555</v>
      </c>
      <c r="I133" s="11" t="s">
        <v>556</v>
      </c>
    </row>
    <row r="134" customFormat="false" ht="23.85" hidden="false" customHeight="false" outlineLevel="0" collapsed="false">
      <c r="A134" s="11" t="n">
        <v>133</v>
      </c>
      <c r="B134" s="11" t="s">
        <v>36</v>
      </c>
      <c r="C134" s="11" t="s">
        <v>557</v>
      </c>
      <c r="D134" s="11" t="s">
        <v>558</v>
      </c>
      <c r="E134" s="11" t="s">
        <v>559</v>
      </c>
      <c r="F134" s="15" t="s">
        <v>22</v>
      </c>
      <c r="G134" s="13" t="s">
        <v>55</v>
      </c>
      <c r="H134" s="11" t="s">
        <v>560</v>
      </c>
      <c r="I134" s="11" t="s">
        <v>561</v>
      </c>
    </row>
    <row r="135" customFormat="false" ht="23.85" hidden="false" customHeight="false" outlineLevel="0" collapsed="false">
      <c r="A135" s="11" t="n">
        <v>134</v>
      </c>
      <c r="B135" s="11" t="s">
        <v>36</v>
      </c>
      <c r="C135" s="11" t="s">
        <v>562</v>
      </c>
      <c r="D135" s="11" t="s">
        <v>563</v>
      </c>
      <c r="E135" s="11" t="s">
        <v>559</v>
      </c>
      <c r="F135" s="14" t="s">
        <v>23</v>
      </c>
      <c r="G135" s="13" t="s">
        <v>55</v>
      </c>
      <c r="H135" s="11" t="s">
        <v>564</v>
      </c>
      <c r="I135" s="11"/>
    </row>
    <row r="136" customFormat="false" ht="23.85" hidden="false" customHeight="false" outlineLevel="0" collapsed="false">
      <c r="A136" s="11" t="n">
        <v>135</v>
      </c>
      <c r="B136" s="11" t="s">
        <v>36</v>
      </c>
      <c r="C136" s="11" t="s">
        <v>565</v>
      </c>
      <c r="D136" s="11" t="s">
        <v>566</v>
      </c>
      <c r="E136" s="11" t="s">
        <v>559</v>
      </c>
      <c r="F136" s="14" t="s">
        <v>23</v>
      </c>
      <c r="G136" s="13" t="s">
        <v>55</v>
      </c>
      <c r="H136" s="11" t="s">
        <v>567</v>
      </c>
      <c r="I136" s="11"/>
    </row>
    <row r="137" customFormat="false" ht="35.05" hidden="false" customHeight="false" outlineLevel="0" collapsed="false">
      <c r="A137" s="11" t="n">
        <v>136</v>
      </c>
      <c r="B137" s="11" t="s">
        <v>36</v>
      </c>
      <c r="C137" s="11" t="s">
        <v>568</v>
      </c>
      <c r="D137" s="11" t="s">
        <v>569</v>
      </c>
      <c r="E137" s="11" t="s">
        <v>559</v>
      </c>
      <c r="F137" s="14" t="s">
        <v>23</v>
      </c>
      <c r="G137" s="13" t="s">
        <v>55</v>
      </c>
      <c r="H137" s="11" t="s">
        <v>570</v>
      </c>
      <c r="I137" s="11" t="s">
        <v>571</v>
      </c>
    </row>
    <row r="138" customFormat="false" ht="23.85" hidden="false" customHeight="false" outlineLevel="0" collapsed="false">
      <c r="A138" s="11" t="n">
        <v>137</v>
      </c>
      <c r="B138" s="11" t="s">
        <v>36</v>
      </c>
      <c r="C138" s="11" t="s">
        <v>572</v>
      </c>
      <c r="D138" s="11" t="s">
        <v>573</v>
      </c>
      <c r="E138" s="11" t="s">
        <v>574</v>
      </c>
      <c r="F138" s="14" t="s">
        <v>23</v>
      </c>
      <c r="G138" s="13" t="s">
        <v>55</v>
      </c>
      <c r="H138" s="11" t="s">
        <v>575</v>
      </c>
      <c r="I138" s="11"/>
    </row>
    <row r="139" customFormat="false" ht="35.05" hidden="false" customHeight="false" outlineLevel="0" collapsed="false">
      <c r="A139" s="11" t="n">
        <v>138</v>
      </c>
      <c r="B139" s="11" t="s">
        <v>36</v>
      </c>
      <c r="C139" s="11" t="s">
        <v>572</v>
      </c>
      <c r="D139" s="11" t="s">
        <v>576</v>
      </c>
      <c r="E139" s="11" t="s">
        <v>574</v>
      </c>
      <c r="F139" s="15" t="s">
        <v>22</v>
      </c>
      <c r="G139" s="13" t="s">
        <v>55</v>
      </c>
      <c r="H139" s="11" t="s">
        <v>577</v>
      </c>
      <c r="I139" s="11" t="s">
        <v>578</v>
      </c>
    </row>
    <row r="140" customFormat="false" ht="35.05" hidden="false" customHeight="false" outlineLevel="0" collapsed="false">
      <c r="A140" s="11" t="n">
        <v>139</v>
      </c>
      <c r="B140" s="11" t="s">
        <v>36</v>
      </c>
      <c r="C140" s="11" t="s">
        <v>579</v>
      </c>
      <c r="D140" s="11" t="s">
        <v>580</v>
      </c>
      <c r="E140" s="11" t="s">
        <v>581</v>
      </c>
      <c r="F140" s="12" t="s">
        <v>21</v>
      </c>
      <c r="G140" s="13" t="s">
        <v>55</v>
      </c>
      <c r="H140" s="11" t="s">
        <v>582</v>
      </c>
      <c r="I140" s="11" t="s">
        <v>583</v>
      </c>
    </row>
    <row r="141" customFormat="false" ht="23.85" hidden="false" customHeight="false" outlineLevel="0" collapsed="false">
      <c r="A141" s="11" t="n">
        <v>140</v>
      </c>
      <c r="B141" s="11" t="s">
        <v>36</v>
      </c>
      <c r="C141" s="11" t="s">
        <v>579</v>
      </c>
      <c r="D141" s="11" t="s">
        <v>584</v>
      </c>
      <c r="E141" s="11" t="s">
        <v>581</v>
      </c>
      <c r="F141" s="14" t="s">
        <v>23</v>
      </c>
      <c r="G141" s="13" t="s">
        <v>55</v>
      </c>
      <c r="H141" s="11" t="s">
        <v>585</v>
      </c>
      <c r="I141" s="11"/>
    </row>
    <row r="142" customFormat="false" ht="23.85" hidden="false" customHeight="false" outlineLevel="0" collapsed="false">
      <c r="A142" s="11" t="n">
        <v>141</v>
      </c>
      <c r="B142" s="11" t="s">
        <v>36</v>
      </c>
      <c r="C142" s="11" t="s">
        <v>579</v>
      </c>
      <c r="D142" s="11" t="s">
        <v>586</v>
      </c>
      <c r="E142" s="11" t="s">
        <v>581</v>
      </c>
      <c r="F142" s="14" t="s">
        <v>23</v>
      </c>
      <c r="G142" s="13" t="s">
        <v>55</v>
      </c>
      <c r="H142" s="11" t="s">
        <v>587</v>
      </c>
      <c r="I142" s="11"/>
    </row>
    <row r="143" customFormat="false" ht="23.85" hidden="false" customHeight="false" outlineLevel="0" collapsed="false">
      <c r="A143" s="11" t="n">
        <v>142</v>
      </c>
      <c r="B143" s="11" t="s">
        <v>36</v>
      </c>
      <c r="C143" s="11" t="s">
        <v>588</v>
      </c>
      <c r="D143" s="11" t="s">
        <v>589</v>
      </c>
      <c r="E143" s="11" t="s">
        <v>590</v>
      </c>
      <c r="F143" s="15" t="s">
        <v>591</v>
      </c>
      <c r="G143" s="13" t="s">
        <v>55</v>
      </c>
      <c r="H143" s="11" t="s">
        <v>592</v>
      </c>
      <c r="I143" s="11" t="s">
        <v>593</v>
      </c>
    </row>
    <row r="144" customFormat="false" ht="23.85" hidden="false" customHeight="false" outlineLevel="0" collapsed="false">
      <c r="A144" s="11" t="n">
        <v>143</v>
      </c>
      <c r="B144" s="11" t="s">
        <v>36</v>
      </c>
      <c r="C144" s="11" t="s">
        <v>588</v>
      </c>
      <c r="D144" s="11" t="s">
        <v>594</v>
      </c>
      <c r="E144" s="11" t="s">
        <v>590</v>
      </c>
      <c r="F144" s="14" t="s">
        <v>23</v>
      </c>
      <c r="G144" s="13" t="s">
        <v>55</v>
      </c>
      <c r="H144" s="11" t="s">
        <v>595</v>
      </c>
      <c r="I144" s="11" t="s">
        <v>596</v>
      </c>
    </row>
    <row r="145" customFormat="false" ht="23.85" hidden="false" customHeight="false" outlineLevel="0" collapsed="false">
      <c r="A145" s="11" t="n">
        <v>144</v>
      </c>
      <c r="B145" s="11" t="s">
        <v>36</v>
      </c>
      <c r="C145" s="11" t="s">
        <v>597</v>
      </c>
      <c r="D145" s="11" t="s">
        <v>598</v>
      </c>
      <c r="E145" s="11" t="s">
        <v>599</v>
      </c>
      <c r="F145" s="12" t="s">
        <v>21</v>
      </c>
      <c r="G145" s="13" t="s">
        <v>55</v>
      </c>
      <c r="H145" s="11" t="s">
        <v>600</v>
      </c>
      <c r="I145" s="11"/>
    </row>
    <row r="146" customFormat="false" ht="35.05" hidden="false" customHeight="false" outlineLevel="0" collapsed="false">
      <c r="A146" s="11" t="n">
        <v>145</v>
      </c>
      <c r="B146" s="11" t="s">
        <v>36</v>
      </c>
      <c r="C146" s="11" t="s">
        <v>597</v>
      </c>
      <c r="D146" s="11" t="s">
        <v>601</v>
      </c>
      <c r="E146" s="11" t="s">
        <v>599</v>
      </c>
      <c r="F146" s="16" t="s">
        <v>176</v>
      </c>
      <c r="G146" s="13" t="s">
        <v>55</v>
      </c>
      <c r="H146" s="11" t="s">
        <v>602</v>
      </c>
      <c r="I146" s="11"/>
    </row>
    <row r="147" customFormat="false" ht="23.85" hidden="false" customHeight="false" outlineLevel="0" collapsed="false">
      <c r="A147" s="11" t="n">
        <v>146</v>
      </c>
      <c r="B147" s="11" t="s">
        <v>36</v>
      </c>
      <c r="C147" s="11" t="s">
        <v>597</v>
      </c>
      <c r="D147" s="11" t="s">
        <v>603</v>
      </c>
      <c r="E147" s="11" t="s">
        <v>599</v>
      </c>
      <c r="F147" s="14" t="s">
        <v>23</v>
      </c>
      <c r="G147" s="13" t="s">
        <v>55</v>
      </c>
      <c r="H147" s="11" t="s">
        <v>604</v>
      </c>
      <c r="I147" s="11"/>
    </row>
    <row r="148" customFormat="false" ht="23.85" hidden="false" customHeight="false" outlineLevel="0" collapsed="false">
      <c r="A148" s="11" t="n">
        <v>147</v>
      </c>
      <c r="B148" s="11" t="s">
        <v>36</v>
      </c>
      <c r="C148" s="11" t="s">
        <v>597</v>
      </c>
      <c r="D148" s="11" t="s">
        <v>605</v>
      </c>
      <c r="E148" s="11" t="s">
        <v>599</v>
      </c>
      <c r="F148" s="14" t="s">
        <v>23</v>
      </c>
      <c r="G148" s="13" t="s">
        <v>55</v>
      </c>
      <c r="H148" s="11" t="s">
        <v>606</v>
      </c>
      <c r="I148" s="11"/>
    </row>
    <row r="149" customFormat="false" ht="23.85" hidden="false" customHeight="false" outlineLevel="0" collapsed="false">
      <c r="A149" s="11" t="n">
        <v>148</v>
      </c>
      <c r="B149" s="11" t="s">
        <v>36</v>
      </c>
      <c r="C149" s="11" t="s">
        <v>597</v>
      </c>
      <c r="D149" s="11" t="s">
        <v>607</v>
      </c>
      <c r="E149" s="11" t="s">
        <v>599</v>
      </c>
      <c r="F149" s="14" t="s">
        <v>23</v>
      </c>
      <c r="G149" s="13" t="s">
        <v>55</v>
      </c>
      <c r="H149" s="11" t="s">
        <v>608</v>
      </c>
      <c r="I149" s="11"/>
    </row>
    <row r="150" customFormat="false" ht="23.85" hidden="false" customHeight="false" outlineLevel="0" collapsed="false">
      <c r="A150" s="11" t="n">
        <v>149</v>
      </c>
      <c r="B150" s="11" t="s">
        <v>36</v>
      </c>
      <c r="C150" s="11" t="s">
        <v>597</v>
      </c>
      <c r="D150" s="11" t="s">
        <v>609</v>
      </c>
      <c r="E150" s="11" t="s">
        <v>599</v>
      </c>
      <c r="F150" s="16" t="s">
        <v>176</v>
      </c>
      <c r="G150" s="13" t="s">
        <v>55</v>
      </c>
      <c r="H150" s="11" t="s">
        <v>610</v>
      </c>
      <c r="I150" s="11"/>
    </row>
    <row r="151" customFormat="false" ht="23.85" hidden="false" customHeight="false" outlineLevel="0" collapsed="false">
      <c r="A151" s="11" t="n">
        <v>150</v>
      </c>
      <c r="B151" s="11" t="s">
        <v>36</v>
      </c>
      <c r="C151" s="11" t="s">
        <v>597</v>
      </c>
      <c r="D151" s="11" t="s">
        <v>611</v>
      </c>
      <c r="E151" s="11" t="s">
        <v>599</v>
      </c>
      <c r="F151" s="14" t="s">
        <v>23</v>
      </c>
      <c r="G151" s="13" t="s">
        <v>55</v>
      </c>
      <c r="H151" s="11" t="s">
        <v>612</v>
      </c>
      <c r="I151" s="11"/>
    </row>
    <row r="152" customFormat="false" ht="23.85" hidden="false" customHeight="false" outlineLevel="0" collapsed="false">
      <c r="A152" s="11" t="n">
        <v>151</v>
      </c>
      <c r="B152" s="11" t="s">
        <v>36</v>
      </c>
      <c r="C152" s="11" t="s">
        <v>597</v>
      </c>
      <c r="D152" s="11" t="s">
        <v>613</v>
      </c>
      <c r="E152" s="11" t="s">
        <v>599</v>
      </c>
      <c r="F152" s="15" t="s">
        <v>22</v>
      </c>
      <c r="G152" s="13" t="s">
        <v>55</v>
      </c>
      <c r="H152" s="11" t="s">
        <v>614</v>
      </c>
      <c r="I152" s="11" t="s">
        <v>615</v>
      </c>
    </row>
    <row r="153" customFormat="false" ht="23.85" hidden="false" customHeight="false" outlineLevel="0" collapsed="false">
      <c r="A153" s="11" t="n">
        <v>152</v>
      </c>
      <c r="B153" s="11" t="s">
        <v>36</v>
      </c>
      <c r="C153" s="11" t="s">
        <v>597</v>
      </c>
      <c r="D153" s="11" t="s">
        <v>616</v>
      </c>
      <c r="E153" s="11" t="s">
        <v>599</v>
      </c>
      <c r="F153" s="14" t="s">
        <v>23</v>
      </c>
      <c r="G153" s="13" t="s">
        <v>55</v>
      </c>
      <c r="H153" s="11" t="s">
        <v>617</v>
      </c>
      <c r="I153" s="11"/>
    </row>
    <row r="154" customFormat="false" ht="35.05" hidden="false" customHeight="false" outlineLevel="0" collapsed="false">
      <c r="A154" s="11" t="n">
        <v>153</v>
      </c>
      <c r="B154" s="11" t="s">
        <v>36</v>
      </c>
      <c r="C154" s="11" t="s">
        <v>618</v>
      </c>
      <c r="D154" s="11" t="s">
        <v>619</v>
      </c>
      <c r="E154" s="11" t="s">
        <v>620</v>
      </c>
      <c r="F154" s="16" t="s">
        <v>176</v>
      </c>
      <c r="G154" s="13" t="s">
        <v>55</v>
      </c>
      <c r="H154" s="11" t="s">
        <v>621</v>
      </c>
      <c r="I154" s="11" t="s">
        <v>622</v>
      </c>
    </row>
    <row r="155" customFormat="false" ht="23.85" hidden="false" customHeight="false" outlineLevel="0" collapsed="false">
      <c r="A155" s="11" t="n">
        <v>154</v>
      </c>
      <c r="B155" s="11" t="s">
        <v>36</v>
      </c>
      <c r="C155" s="11" t="s">
        <v>623</v>
      </c>
      <c r="D155" s="11" t="s">
        <v>624</v>
      </c>
      <c r="E155" s="11" t="s">
        <v>625</v>
      </c>
      <c r="F155" s="14" t="s">
        <v>23</v>
      </c>
      <c r="G155" s="13" t="s">
        <v>55</v>
      </c>
      <c r="H155" s="11" t="s">
        <v>626</v>
      </c>
      <c r="I155" s="11"/>
    </row>
    <row r="156" customFormat="false" ht="35.05" hidden="false" customHeight="false" outlineLevel="0" collapsed="false">
      <c r="A156" s="11" t="n">
        <v>155</v>
      </c>
      <c r="B156" s="11" t="s">
        <v>36</v>
      </c>
      <c r="C156" s="11" t="s">
        <v>627</v>
      </c>
      <c r="D156" s="11" t="s">
        <v>628</v>
      </c>
      <c r="E156" s="11" t="s">
        <v>629</v>
      </c>
      <c r="F156" s="12" t="s">
        <v>21</v>
      </c>
      <c r="G156" s="13" t="s">
        <v>55</v>
      </c>
      <c r="H156" s="11" t="s">
        <v>630</v>
      </c>
      <c r="I156" s="11" t="s">
        <v>631</v>
      </c>
    </row>
    <row r="157" customFormat="false" ht="23.85" hidden="false" customHeight="false" outlineLevel="0" collapsed="false">
      <c r="A157" s="11" t="n">
        <v>156</v>
      </c>
      <c r="B157" s="11" t="s">
        <v>36</v>
      </c>
      <c r="C157" s="11" t="s">
        <v>632</v>
      </c>
      <c r="D157" s="11" t="s">
        <v>633</v>
      </c>
      <c r="E157" s="11" t="s">
        <v>634</v>
      </c>
      <c r="F157" s="12" t="s">
        <v>21</v>
      </c>
      <c r="G157" s="13" t="s">
        <v>55</v>
      </c>
      <c r="H157" s="11" t="s">
        <v>635</v>
      </c>
      <c r="I157" s="11" t="s">
        <v>636</v>
      </c>
    </row>
    <row r="158" customFormat="false" ht="23.85" hidden="false" customHeight="false" outlineLevel="0" collapsed="false">
      <c r="A158" s="11" t="n">
        <v>157</v>
      </c>
      <c r="B158" s="11" t="s">
        <v>36</v>
      </c>
      <c r="C158" s="11" t="s">
        <v>632</v>
      </c>
      <c r="D158" s="11" t="s">
        <v>637</v>
      </c>
      <c r="E158" s="11" t="s">
        <v>634</v>
      </c>
      <c r="F158" s="15" t="s">
        <v>22</v>
      </c>
      <c r="G158" s="13" t="s">
        <v>55</v>
      </c>
      <c r="H158" s="11" t="s">
        <v>638</v>
      </c>
      <c r="I158" s="11" t="s">
        <v>639</v>
      </c>
    </row>
    <row r="159" customFormat="false" ht="23.85" hidden="false" customHeight="false" outlineLevel="0" collapsed="false">
      <c r="A159" s="11" t="n">
        <v>158</v>
      </c>
      <c r="B159" s="11" t="s">
        <v>36</v>
      </c>
      <c r="C159" s="11" t="s">
        <v>632</v>
      </c>
      <c r="D159" s="11" t="s">
        <v>640</v>
      </c>
      <c r="E159" s="11" t="s">
        <v>634</v>
      </c>
      <c r="F159" s="15" t="s">
        <v>22</v>
      </c>
      <c r="G159" s="13" t="s">
        <v>55</v>
      </c>
      <c r="H159" s="11" t="s">
        <v>641</v>
      </c>
      <c r="I159" s="11" t="s">
        <v>642</v>
      </c>
    </row>
    <row r="160" customFormat="false" ht="23.85" hidden="false" customHeight="false" outlineLevel="0" collapsed="false">
      <c r="A160" s="11" t="n">
        <v>159</v>
      </c>
      <c r="B160" s="11" t="s">
        <v>36</v>
      </c>
      <c r="C160" s="11" t="s">
        <v>632</v>
      </c>
      <c r="D160" s="11" t="s">
        <v>643</v>
      </c>
      <c r="E160" s="11" t="s">
        <v>634</v>
      </c>
      <c r="F160" s="14" t="s">
        <v>23</v>
      </c>
      <c r="G160" s="13" t="s">
        <v>55</v>
      </c>
      <c r="H160" s="11" t="s">
        <v>644</v>
      </c>
      <c r="I160" s="11" t="s">
        <v>645</v>
      </c>
    </row>
    <row r="161" customFormat="false" ht="23.85" hidden="false" customHeight="false" outlineLevel="0" collapsed="false">
      <c r="A161" s="11" t="n">
        <v>160</v>
      </c>
      <c r="B161" s="11" t="s">
        <v>37</v>
      </c>
      <c r="C161" s="11" t="s">
        <v>646</v>
      </c>
      <c r="D161" s="11" t="s">
        <v>647</v>
      </c>
      <c r="E161" s="11" t="s">
        <v>648</v>
      </c>
      <c r="F161" s="12" t="s">
        <v>21</v>
      </c>
      <c r="G161" s="13" t="s">
        <v>55</v>
      </c>
      <c r="H161" s="11" t="s">
        <v>649</v>
      </c>
      <c r="I161" s="11"/>
    </row>
    <row r="162" customFormat="false" ht="23.85" hidden="false" customHeight="false" outlineLevel="0" collapsed="false">
      <c r="A162" s="11" t="n">
        <v>161</v>
      </c>
      <c r="B162" s="11" t="s">
        <v>37</v>
      </c>
      <c r="C162" s="11" t="s">
        <v>646</v>
      </c>
      <c r="D162" s="11" t="s">
        <v>650</v>
      </c>
      <c r="E162" s="11" t="s">
        <v>648</v>
      </c>
      <c r="F162" s="14" t="s">
        <v>23</v>
      </c>
      <c r="G162" s="13" t="s">
        <v>55</v>
      </c>
      <c r="H162" s="11" t="s">
        <v>651</v>
      </c>
      <c r="I162" s="11" t="s">
        <v>652</v>
      </c>
    </row>
    <row r="163" customFormat="false" ht="35.05" hidden="false" customHeight="false" outlineLevel="0" collapsed="false">
      <c r="A163" s="11" t="n">
        <v>162</v>
      </c>
      <c r="B163" s="11" t="s">
        <v>37</v>
      </c>
      <c r="C163" s="11" t="s">
        <v>646</v>
      </c>
      <c r="D163" s="11" t="s">
        <v>653</v>
      </c>
      <c r="E163" s="11" t="s">
        <v>648</v>
      </c>
      <c r="F163" s="12" t="s">
        <v>654</v>
      </c>
      <c r="G163" s="13" t="s">
        <v>55</v>
      </c>
      <c r="H163" s="11" t="s">
        <v>655</v>
      </c>
      <c r="I163" s="11" t="s">
        <v>656</v>
      </c>
    </row>
    <row r="164" customFormat="false" ht="23.85" hidden="false" customHeight="false" outlineLevel="0" collapsed="false">
      <c r="A164" s="11" t="n">
        <v>163</v>
      </c>
      <c r="B164" s="11" t="s">
        <v>37</v>
      </c>
      <c r="C164" s="11" t="s">
        <v>657</v>
      </c>
      <c r="D164" s="11" t="s">
        <v>658</v>
      </c>
      <c r="E164" s="11" t="s">
        <v>659</v>
      </c>
      <c r="F164" s="14" t="s">
        <v>23</v>
      </c>
      <c r="G164" s="13" t="s">
        <v>55</v>
      </c>
      <c r="H164" s="11" t="s">
        <v>660</v>
      </c>
      <c r="I164" s="11"/>
    </row>
    <row r="165" customFormat="false" ht="23.85" hidden="false" customHeight="false" outlineLevel="0" collapsed="false">
      <c r="A165" s="11" t="n">
        <v>164</v>
      </c>
      <c r="B165" s="11" t="s">
        <v>37</v>
      </c>
      <c r="C165" s="11" t="s">
        <v>657</v>
      </c>
      <c r="D165" s="11" t="s">
        <v>661</v>
      </c>
      <c r="E165" s="11" t="s">
        <v>659</v>
      </c>
      <c r="F165" s="14" t="s">
        <v>23</v>
      </c>
      <c r="G165" s="13" t="s">
        <v>55</v>
      </c>
      <c r="H165" s="11" t="s">
        <v>662</v>
      </c>
      <c r="I165" s="11"/>
    </row>
    <row r="166" customFormat="false" ht="35.05" hidden="false" customHeight="false" outlineLevel="0" collapsed="false">
      <c r="A166" s="11" t="n">
        <v>165</v>
      </c>
      <c r="B166" s="11" t="s">
        <v>37</v>
      </c>
      <c r="C166" s="11" t="s">
        <v>663</v>
      </c>
      <c r="D166" s="11" t="s">
        <v>664</v>
      </c>
      <c r="E166" s="11" t="s">
        <v>665</v>
      </c>
      <c r="F166" s="14" t="s">
        <v>23</v>
      </c>
      <c r="G166" s="13" t="s">
        <v>55</v>
      </c>
      <c r="H166" s="11" t="s">
        <v>666</v>
      </c>
      <c r="I166" s="11" t="s">
        <v>667</v>
      </c>
    </row>
    <row r="167" customFormat="false" ht="23.85" hidden="false" customHeight="false" outlineLevel="0" collapsed="false">
      <c r="A167" s="11" t="n">
        <v>166</v>
      </c>
      <c r="B167" s="11" t="s">
        <v>37</v>
      </c>
      <c r="C167" s="11" t="s">
        <v>668</v>
      </c>
      <c r="D167" s="11" t="s">
        <v>669</v>
      </c>
      <c r="E167" s="11" t="s">
        <v>670</v>
      </c>
      <c r="F167" s="14" t="s">
        <v>23</v>
      </c>
      <c r="G167" s="13" t="s">
        <v>55</v>
      </c>
      <c r="H167" s="11" t="s">
        <v>671</v>
      </c>
      <c r="I167" s="11"/>
    </row>
    <row r="168" customFormat="false" ht="23.85" hidden="false" customHeight="false" outlineLevel="0" collapsed="false">
      <c r="A168" s="11" t="n">
        <v>167</v>
      </c>
      <c r="B168" s="11" t="s">
        <v>37</v>
      </c>
      <c r="C168" s="11" t="s">
        <v>668</v>
      </c>
      <c r="D168" s="11" t="s">
        <v>672</v>
      </c>
      <c r="E168" s="11" t="s">
        <v>670</v>
      </c>
      <c r="F168" s="14" t="s">
        <v>23</v>
      </c>
      <c r="G168" s="13" t="s">
        <v>55</v>
      </c>
      <c r="H168" s="11" t="s">
        <v>673</v>
      </c>
      <c r="I168" s="11"/>
    </row>
    <row r="169" customFormat="false" ht="23.85" hidden="false" customHeight="false" outlineLevel="0" collapsed="false">
      <c r="A169" s="11" t="n">
        <v>168</v>
      </c>
      <c r="B169" s="11" t="s">
        <v>37</v>
      </c>
      <c r="C169" s="11" t="s">
        <v>668</v>
      </c>
      <c r="D169" s="11" t="s">
        <v>674</v>
      </c>
      <c r="E169" s="11" t="s">
        <v>670</v>
      </c>
      <c r="F169" s="14" t="s">
        <v>23</v>
      </c>
      <c r="G169" s="13" t="s">
        <v>55</v>
      </c>
      <c r="H169" s="11" t="s">
        <v>675</v>
      </c>
      <c r="I169" s="11"/>
    </row>
    <row r="170" customFormat="false" ht="35.05" hidden="false" customHeight="false" outlineLevel="0" collapsed="false">
      <c r="A170" s="11" t="n">
        <v>169</v>
      </c>
      <c r="B170" s="11" t="s">
        <v>37</v>
      </c>
      <c r="C170" s="11" t="s">
        <v>676</v>
      </c>
      <c r="D170" s="11" t="s">
        <v>677</v>
      </c>
      <c r="E170" s="11" t="s">
        <v>678</v>
      </c>
      <c r="F170" s="14" t="s">
        <v>23</v>
      </c>
      <c r="G170" s="13" t="s">
        <v>55</v>
      </c>
      <c r="H170" s="11" t="s">
        <v>679</v>
      </c>
      <c r="I170" s="11"/>
    </row>
    <row r="171" customFormat="false" ht="23.85" hidden="false" customHeight="false" outlineLevel="0" collapsed="false">
      <c r="A171" s="11" t="n">
        <v>170</v>
      </c>
      <c r="B171" s="11" t="s">
        <v>37</v>
      </c>
      <c r="C171" s="11" t="s">
        <v>676</v>
      </c>
      <c r="D171" s="11" t="s">
        <v>680</v>
      </c>
      <c r="E171" s="11" t="s">
        <v>678</v>
      </c>
      <c r="F171" s="14" t="s">
        <v>23</v>
      </c>
      <c r="G171" s="13" t="s">
        <v>55</v>
      </c>
      <c r="H171" s="11" t="s">
        <v>681</v>
      </c>
      <c r="I171" s="11"/>
    </row>
    <row r="172" customFormat="false" ht="35.05" hidden="false" customHeight="false" outlineLevel="0" collapsed="false">
      <c r="A172" s="11" t="n">
        <v>171</v>
      </c>
      <c r="B172" s="11" t="s">
        <v>38</v>
      </c>
      <c r="C172" s="11" t="s">
        <v>682</v>
      </c>
      <c r="D172" s="11" t="s">
        <v>683</v>
      </c>
      <c r="E172" s="11" t="s">
        <v>684</v>
      </c>
      <c r="F172" s="14" t="s">
        <v>23</v>
      </c>
      <c r="G172" s="13" t="s">
        <v>55</v>
      </c>
      <c r="H172" s="11" t="s">
        <v>685</v>
      </c>
      <c r="I172" s="11" t="s">
        <v>686</v>
      </c>
    </row>
    <row r="173" customFormat="false" ht="23.85" hidden="false" customHeight="false" outlineLevel="0" collapsed="false">
      <c r="A173" s="11" t="n">
        <v>172</v>
      </c>
      <c r="B173" s="11" t="s">
        <v>38</v>
      </c>
      <c r="C173" s="11" t="s">
        <v>682</v>
      </c>
      <c r="D173" s="11" t="s">
        <v>687</v>
      </c>
      <c r="E173" s="11" t="s">
        <v>684</v>
      </c>
      <c r="F173" s="14" t="s">
        <v>23</v>
      </c>
      <c r="G173" s="13" t="s">
        <v>55</v>
      </c>
      <c r="H173" s="11" t="s">
        <v>688</v>
      </c>
      <c r="I173" s="11"/>
    </row>
    <row r="174" customFormat="false" ht="23.85" hidden="false" customHeight="false" outlineLevel="0" collapsed="false">
      <c r="A174" s="11" t="n">
        <v>173</v>
      </c>
      <c r="B174" s="11" t="s">
        <v>38</v>
      </c>
      <c r="C174" s="11" t="s">
        <v>682</v>
      </c>
      <c r="D174" s="11" t="s">
        <v>689</v>
      </c>
      <c r="E174" s="11" t="s">
        <v>684</v>
      </c>
      <c r="F174" s="14" t="s">
        <v>23</v>
      </c>
      <c r="G174" s="13" t="s">
        <v>55</v>
      </c>
      <c r="H174" s="11" t="s">
        <v>690</v>
      </c>
      <c r="I174" s="11"/>
    </row>
    <row r="175" customFormat="false" ht="23.85" hidden="false" customHeight="false" outlineLevel="0" collapsed="false">
      <c r="A175" s="11" t="n">
        <v>174</v>
      </c>
      <c r="B175" s="11" t="s">
        <v>38</v>
      </c>
      <c r="C175" s="11" t="s">
        <v>682</v>
      </c>
      <c r="D175" s="11" t="s">
        <v>691</v>
      </c>
      <c r="E175" s="11" t="s">
        <v>684</v>
      </c>
      <c r="F175" s="14" t="s">
        <v>23</v>
      </c>
      <c r="G175" s="13" t="s">
        <v>55</v>
      </c>
      <c r="H175" s="11" t="s">
        <v>692</v>
      </c>
      <c r="I175" s="11" t="s">
        <v>693</v>
      </c>
    </row>
    <row r="176" customFormat="false" ht="23.85" hidden="false" customHeight="false" outlineLevel="0" collapsed="false">
      <c r="A176" s="11" t="n">
        <v>175</v>
      </c>
      <c r="B176" s="11" t="s">
        <v>38</v>
      </c>
      <c r="C176" s="11" t="s">
        <v>694</v>
      </c>
      <c r="D176" s="11" t="s">
        <v>695</v>
      </c>
      <c r="E176" s="11" t="s">
        <v>696</v>
      </c>
      <c r="F176" s="14" t="s">
        <v>23</v>
      </c>
      <c r="G176" s="13" t="s">
        <v>55</v>
      </c>
      <c r="H176" s="11" t="s">
        <v>697</v>
      </c>
      <c r="I176" s="11"/>
    </row>
    <row r="177" customFormat="false" ht="35.05" hidden="false" customHeight="false" outlineLevel="0" collapsed="false">
      <c r="A177" s="11" t="n">
        <v>176</v>
      </c>
      <c r="B177" s="11" t="s">
        <v>38</v>
      </c>
      <c r="C177" s="11" t="s">
        <v>698</v>
      </c>
      <c r="D177" s="11" t="s">
        <v>699</v>
      </c>
      <c r="E177" s="11" t="s">
        <v>700</v>
      </c>
      <c r="F177" s="14" t="s">
        <v>23</v>
      </c>
      <c r="G177" s="13" t="s">
        <v>55</v>
      </c>
      <c r="H177" s="11" t="s">
        <v>701</v>
      </c>
      <c r="I177" s="11"/>
    </row>
    <row r="178" customFormat="false" ht="23.85" hidden="false" customHeight="false" outlineLevel="0" collapsed="false">
      <c r="A178" s="11" t="n">
        <v>177</v>
      </c>
      <c r="B178" s="11" t="s">
        <v>38</v>
      </c>
      <c r="C178" s="11" t="s">
        <v>702</v>
      </c>
      <c r="D178" s="11" t="s">
        <v>703</v>
      </c>
      <c r="E178" s="11" t="s">
        <v>704</v>
      </c>
      <c r="F178" s="14" t="s">
        <v>23</v>
      </c>
      <c r="G178" s="13" t="s">
        <v>55</v>
      </c>
      <c r="H178" s="11" t="s">
        <v>705</v>
      </c>
      <c r="I178" s="11"/>
    </row>
    <row r="179" customFormat="false" ht="23.85" hidden="false" customHeight="false" outlineLevel="0" collapsed="false">
      <c r="A179" s="11" t="n">
        <v>178</v>
      </c>
      <c r="B179" s="11" t="s">
        <v>38</v>
      </c>
      <c r="C179" s="11" t="s">
        <v>702</v>
      </c>
      <c r="D179" s="11" t="s">
        <v>706</v>
      </c>
      <c r="E179" s="11" t="s">
        <v>704</v>
      </c>
      <c r="F179" s="14" t="s">
        <v>23</v>
      </c>
      <c r="G179" s="13" t="s">
        <v>55</v>
      </c>
      <c r="H179" s="11" t="s">
        <v>707</v>
      </c>
      <c r="I179" s="11"/>
    </row>
    <row r="180" customFormat="false" ht="23.85" hidden="false" customHeight="false" outlineLevel="0" collapsed="false">
      <c r="A180" s="11" t="n">
        <v>179</v>
      </c>
      <c r="B180" s="11" t="s">
        <v>39</v>
      </c>
      <c r="C180" s="11" t="s">
        <v>708</v>
      </c>
      <c r="D180" s="11" t="s">
        <v>709</v>
      </c>
      <c r="E180" s="11" t="s">
        <v>710</v>
      </c>
      <c r="F180" s="12" t="s">
        <v>21</v>
      </c>
      <c r="G180" s="13" t="s">
        <v>55</v>
      </c>
      <c r="H180" s="11" t="s">
        <v>711</v>
      </c>
      <c r="I180" s="11" t="s">
        <v>712</v>
      </c>
    </row>
    <row r="181" customFormat="false" ht="23.85" hidden="false" customHeight="false" outlineLevel="0" collapsed="false">
      <c r="A181" s="11" t="n">
        <v>180</v>
      </c>
      <c r="B181" s="11" t="s">
        <v>39</v>
      </c>
      <c r="C181" s="11" t="s">
        <v>708</v>
      </c>
      <c r="D181" s="11" t="s">
        <v>713</v>
      </c>
      <c r="E181" s="11" t="s">
        <v>710</v>
      </c>
      <c r="F181" s="12" t="s">
        <v>21</v>
      </c>
      <c r="G181" s="13" t="s">
        <v>55</v>
      </c>
      <c r="H181" s="11" t="s">
        <v>714</v>
      </c>
      <c r="I181" s="11"/>
    </row>
    <row r="182" customFormat="false" ht="35.05" hidden="false" customHeight="false" outlineLevel="0" collapsed="false">
      <c r="A182" s="11" t="n">
        <v>181</v>
      </c>
      <c r="B182" s="11" t="s">
        <v>39</v>
      </c>
      <c r="C182" s="11" t="s">
        <v>708</v>
      </c>
      <c r="D182" s="11" t="s">
        <v>715</v>
      </c>
      <c r="E182" s="11" t="s">
        <v>710</v>
      </c>
      <c r="F182" s="16" t="s">
        <v>176</v>
      </c>
      <c r="G182" s="13" t="s">
        <v>55</v>
      </c>
      <c r="H182" s="11" t="s">
        <v>716</v>
      </c>
      <c r="I182" s="11"/>
    </row>
    <row r="183" customFormat="false" ht="35.05" hidden="false" customHeight="false" outlineLevel="0" collapsed="false">
      <c r="A183" s="11" t="n">
        <v>182</v>
      </c>
      <c r="B183" s="11" t="s">
        <v>39</v>
      </c>
      <c r="C183" s="11" t="s">
        <v>708</v>
      </c>
      <c r="D183" s="11" t="s">
        <v>717</v>
      </c>
      <c r="E183" s="11" t="s">
        <v>710</v>
      </c>
      <c r="F183" s="14" t="s">
        <v>23</v>
      </c>
      <c r="G183" s="13" t="s">
        <v>55</v>
      </c>
      <c r="H183" s="11" t="s">
        <v>718</v>
      </c>
      <c r="I183" s="11"/>
    </row>
    <row r="184" customFormat="false" ht="23.85" hidden="false" customHeight="false" outlineLevel="0" collapsed="false">
      <c r="A184" s="11" t="n">
        <v>183</v>
      </c>
      <c r="B184" s="11" t="s">
        <v>39</v>
      </c>
      <c r="C184" s="11" t="s">
        <v>708</v>
      </c>
      <c r="D184" s="11" t="s">
        <v>719</v>
      </c>
      <c r="E184" s="11" t="s">
        <v>710</v>
      </c>
      <c r="F184" s="12" t="s">
        <v>21</v>
      </c>
      <c r="G184" s="13" t="s">
        <v>55</v>
      </c>
      <c r="H184" s="11" t="s">
        <v>720</v>
      </c>
      <c r="I184" s="11"/>
    </row>
    <row r="185" customFormat="false" ht="23.85" hidden="false" customHeight="false" outlineLevel="0" collapsed="false">
      <c r="A185" s="11" t="n">
        <v>184</v>
      </c>
      <c r="B185" s="11" t="s">
        <v>39</v>
      </c>
      <c r="C185" s="11" t="s">
        <v>721</v>
      </c>
      <c r="D185" s="11" t="s">
        <v>722</v>
      </c>
      <c r="E185" s="11" t="s">
        <v>710</v>
      </c>
      <c r="F185" s="15" t="s">
        <v>22</v>
      </c>
      <c r="G185" s="13" t="s">
        <v>55</v>
      </c>
      <c r="H185" s="11" t="s">
        <v>723</v>
      </c>
      <c r="I185" s="11" t="s">
        <v>724</v>
      </c>
    </row>
    <row r="186" customFormat="false" ht="35.05" hidden="false" customHeight="false" outlineLevel="0" collapsed="false">
      <c r="A186" s="11" t="n">
        <v>185</v>
      </c>
      <c r="B186" s="11" t="s">
        <v>39</v>
      </c>
      <c r="C186" s="11" t="s">
        <v>725</v>
      </c>
      <c r="D186" s="11" t="s">
        <v>726</v>
      </c>
      <c r="E186" s="11" t="s">
        <v>710</v>
      </c>
      <c r="F186" s="14" t="s">
        <v>23</v>
      </c>
      <c r="G186" s="13" t="s">
        <v>55</v>
      </c>
      <c r="H186" s="11" t="s">
        <v>727</v>
      </c>
      <c r="I186" s="11"/>
    </row>
    <row r="187" customFormat="false" ht="23.85" hidden="false" customHeight="false" outlineLevel="0" collapsed="false">
      <c r="A187" s="11" t="n">
        <v>186</v>
      </c>
      <c r="B187" s="11" t="s">
        <v>39</v>
      </c>
      <c r="C187" s="11" t="s">
        <v>728</v>
      </c>
      <c r="D187" s="11" t="s">
        <v>729</v>
      </c>
      <c r="E187" s="11" t="s">
        <v>730</v>
      </c>
      <c r="F187" s="12" t="s">
        <v>21</v>
      </c>
      <c r="G187" s="13" t="s">
        <v>55</v>
      </c>
      <c r="H187" s="11" t="s">
        <v>731</v>
      </c>
      <c r="I187" s="11"/>
    </row>
    <row r="188" customFormat="false" ht="23.85" hidden="false" customHeight="false" outlineLevel="0" collapsed="false">
      <c r="A188" s="11" t="n">
        <v>187</v>
      </c>
      <c r="B188" s="11" t="s">
        <v>39</v>
      </c>
      <c r="C188" s="11" t="s">
        <v>728</v>
      </c>
      <c r="D188" s="11" t="s">
        <v>732</v>
      </c>
      <c r="E188" s="11" t="s">
        <v>730</v>
      </c>
      <c r="F188" s="12" t="s">
        <v>21</v>
      </c>
      <c r="G188" s="13" t="s">
        <v>55</v>
      </c>
      <c r="H188" s="11" t="s">
        <v>733</v>
      </c>
      <c r="I188" s="11"/>
    </row>
    <row r="189" customFormat="false" ht="23.85" hidden="false" customHeight="false" outlineLevel="0" collapsed="false">
      <c r="A189" s="11" t="n">
        <v>188</v>
      </c>
      <c r="B189" s="11" t="s">
        <v>39</v>
      </c>
      <c r="C189" s="11" t="s">
        <v>728</v>
      </c>
      <c r="D189" s="11" t="s">
        <v>734</v>
      </c>
      <c r="E189" s="11" t="s">
        <v>730</v>
      </c>
      <c r="F189" s="12" t="s">
        <v>21</v>
      </c>
      <c r="G189" s="13" t="s">
        <v>55</v>
      </c>
      <c r="H189" s="11" t="s">
        <v>735</v>
      </c>
      <c r="I189" s="11"/>
    </row>
    <row r="190" customFormat="false" ht="23.85" hidden="false" customHeight="false" outlineLevel="0" collapsed="false">
      <c r="A190" s="11" t="n">
        <v>189</v>
      </c>
      <c r="B190" s="11" t="s">
        <v>39</v>
      </c>
      <c r="C190" s="11" t="s">
        <v>728</v>
      </c>
      <c r="D190" s="11" t="s">
        <v>736</v>
      </c>
      <c r="E190" s="11" t="s">
        <v>730</v>
      </c>
      <c r="F190" s="12" t="s">
        <v>21</v>
      </c>
      <c r="G190" s="13" t="s">
        <v>55</v>
      </c>
      <c r="H190" s="11" t="s">
        <v>737</v>
      </c>
      <c r="I190" s="11"/>
    </row>
    <row r="191" customFormat="false" ht="35.05" hidden="false" customHeight="false" outlineLevel="0" collapsed="false">
      <c r="A191" s="11" t="n">
        <v>190</v>
      </c>
      <c r="B191" s="11" t="s">
        <v>39</v>
      </c>
      <c r="C191" s="11" t="s">
        <v>728</v>
      </c>
      <c r="D191" s="11" t="s">
        <v>738</v>
      </c>
      <c r="E191" s="11" t="s">
        <v>730</v>
      </c>
      <c r="F191" s="15" t="s">
        <v>22</v>
      </c>
      <c r="G191" s="13" t="s">
        <v>55</v>
      </c>
      <c r="H191" s="11" t="s">
        <v>739</v>
      </c>
      <c r="I191" s="11" t="s">
        <v>740</v>
      </c>
    </row>
    <row r="192" customFormat="false" ht="23.85" hidden="false" customHeight="false" outlineLevel="0" collapsed="false">
      <c r="A192" s="11" t="n">
        <v>191</v>
      </c>
      <c r="B192" s="11" t="s">
        <v>39</v>
      </c>
      <c r="C192" s="11" t="s">
        <v>728</v>
      </c>
      <c r="D192" s="11" t="s">
        <v>741</v>
      </c>
      <c r="E192" s="11" t="s">
        <v>730</v>
      </c>
      <c r="F192" s="15" t="s">
        <v>22</v>
      </c>
      <c r="G192" s="13" t="s">
        <v>55</v>
      </c>
      <c r="H192" s="11" t="s">
        <v>742</v>
      </c>
      <c r="I192" s="11" t="s">
        <v>743</v>
      </c>
    </row>
    <row r="193" customFormat="false" ht="23.85" hidden="false" customHeight="false" outlineLevel="0" collapsed="false">
      <c r="A193" s="11" t="n">
        <v>192</v>
      </c>
      <c r="B193" s="11" t="s">
        <v>39</v>
      </c>
      <c r="C193" s="11" t="s">
        <v>728</v>
      </c>
      <c r="D193" s="11" t="s">
        <v>744</v>
      </c>
      <c r="E193" s="11" t="s">
        <v>730</v>
      </c>
      <c r="F193" s="15" t="s">
        <v>22</v>
      </c>
      <c r="G193" s="13" t="s">
        <v>55</v>
      </c>
      <c r="H193" s="11" t="s">
        <v>745</v>
      </c>
      <c r="I193" s="11" t="s">
        <v>746</v>
      </c>
    </row>
    <row r="194" customFormat="false" ht="23.85" hidden="false" customHeight="false" outlineLevel="0" collapsed="false">
      <c r="A194" s="11" t="n">
        <v>193</v>
      </c>
      <c r="B194" s="11" t="s">
        <v>39</v>
      </c>
      <c r="C194" s="11" t="s">
        <v>728</v>
      </c>
      <c r="D194" s="11" t="s">
        <v>747</v>
      </c>
      <c r="E194" s="11" t="s">
        <v>730</v>
      </c>
      <c r="F194" s="12" t="s">
        <v>21</v>
      </c>
      <c r="G194" s="13" t="s">
        <v>55</v>
      </c>
      <c r="H194" s="11" t="s">
        <v>748</v>
      </c>
      <c r="I194" s="11"/>
    </row>
    <row r="195" customFormat="false" ht="35.05" hidden="false" customHeight="false" outlineLevel="0" collapsed="false">
      <c r="A195" s="11" t="n">
        <v>194</v>
      </c>
      <c r="B195" s="11" t="s">
        <v>39</v>
      </c>
      <c r="C195" s="11" t="s">
        <v>728</v>
      </c>
      <c r="D195" s="11" t="s">
        <v>749</v>
      </c>
      <c r="E195" s="11" t="s">
        <v>730</v>
      </c>
      <c r="F195" s="14" t="s">
        <v>23</v>
      </c>
      <c r="G195" s="13" t="s">
        <v>55</v>
      </c>
      <c r="H195" s="11" t="s">
        <v>750</v>
      </c>
      <c r="I195" s="11"/>
    </row>
    <row r="196" customFormat="false" ht="23.85" hidden="false" customHeight="false" outlineLevel="0" collapsed="false">
      <c r="A196" s="11" t="n">
        <v>195</v>
      </c>
      <c r="B196" s="11" t="s">
        <v>39</v>
      </c>
      <c r="C196" s="11" t="s">
        <v>728</v>
      </c>
      <c r="D196" s="11" t="s">
        <v>751</v>
      </c>
      <c r="E196" s="11" t="s">
        <v>730</v>
      </c>
      <c r="F196" s="14" t="s">
        <v>23</v>
      </c>
      <c r="G196" s="13" t="s">
        <v>55</v>
      </c>
      <c r="H196" s="11" t="s">
        <v>752</v>
      </c>
      <c r="I196" s="11"/>
    </row>
    <row r="197" customFormat="false" ht="23.85" hidden="false" customHeight="false" outlineLevel="0" collapsed="false">
      <c r="A197" s="11" t="n">
        <v>196</v>
      </c>
      <c r="B197" s="11" t="s">
        <v>39</v>
      </c>
      <c r="C197" s="11" t="s">
        <v>753</v>
      </c>
      <c r="D197" s="11" t="s">
        <v>754</v>
      </c>
      <c r="E197" s="11" t="s">
        <v>755</v>
      </c>
      <c r="F197" s="12" t="s">
        <v>21</v>
      </c>
      <c r="G197" s="13" t="s">
        <v>55</v>
      </c>
      <c r="H197" s="11" t="s">
        <v>756</v>
      </c>
      <c r="I197" s="11"/>
    </row>
    <row r="198" customFormat="false" ht="23.85" hidden="false" customHeight="false" outlineLevel="0" collapsed="false">
      <c r="A198" s="11" t="n">
        <v>197</v>
      </c>
      <c r="B198" s="11" t="s">
        <v>39</v>
      </c>
      <c r="C198" s="11" t="s">
        <v>753</v>
      </c>
      <c r="D198" s="11" t="s">
        <v>757</v>
      </c>
      <c r="E198" s="11" t="s">
        <v>755</v>
      </c>
      <c r="F198" s="15" t="s">
        <v>591</v>
      </c>
      <c r="G198" s="13" t="s">
        <v>55</v>
      </c>
      <c r="H198" s="11" t="s">
        <v>758</v>
      </c>
      <c r="I198" s="11" t="s">
        <v>759</v>
      </c>
    </row>
    <row r="199" customFormat="false" ht="23.85" hidden="false" customHeight="false" outlineLevel="0" collapsed="false">
      <c r="A199" s="11" t="n">
        <v>198</v>
      </c>
      <c r="B199" s="11" t="s">
        <v>39</v>
      </c>
      <c r="C199" s="11" t="s">
        <v>753</v>
      </c>
      <c r="D199" s="11" t="s">
        <v>760</v>
      </c>
      <c r="E199" s="11" t="s">
        <v>755</v>
      </c>
      <c r="F199" s="15" t="s">
        <v>591</v>
      </c>
      <c r="G199" s="13" t="s">
        <v>55</v>
      </c>
      <c r="H199" s="11" t="s">
        <v>761</v>
      </c>
      <c r="I199" s="11" t="s">
        <v>762</v>
      </c>
    </row>
    <row r="200" customFormat="false" ht="23.85" hidden="false" customHeight="false" outlineLevel="0" collapsed="false">
      <c r="A200" s="11" t="n">
        <v>199</v>
      </c>
      <c r="B200" s="11" t="s">
        <v>39</v>
      </c>
      <c r="C200" s="11" t="s">
        <v>753</v>
      </c>
      <c r="D200" s="11" t="s">
        <v>763</v>
      </c>
      <c r="E200" s="11" t="s">
        <v>755</v>
      </c>
      <c r="F200" s="14" t="s">
        <v>23</v>
      </c>
      <c r="G200" s="13" t="s">
        <v>55</v>
      </c>
      <c r="H200" s="11" t="s">
        <v>764</v>
      </c>
      <c r="I200" s="11"/>
    </row>
    <row r="201" customFormat="false" ht="23.85" hidden="false" customHeight="false" outlineLevel="0" collapsed="false">
      <c r="A201" s="11" t="n">
        <v>200</v>
      </c>
      <c r="B201" s="11" t="s">
        <v>39</v>
      </c>
      <c r="C201" s="11" t="s">
        <v>753</v>
      </c>
      <c r="D201" s="11" t="s">
        <v>765</v>
      </c>
      <c r="E201" s="11" t="s">
        <v>755</v>
      </c>
      <c r="F201" s="14" t="s">
        <v>23</v>
      </c>
      <c r="G201" s="13" t="s">
        <v>55</v>
      </c>
      <c r="H201" s="11" t="s">
        <v>766</v>
      </c>
      <c r="I201" s="11"/>
    </row>
    <row r="202" customFormat="false" ht="23.85" hidden="false" customHeight="false" outlineLevel="0" collapsed="false">
      <c r="A202" s="11" t="n">
        <v>201</v>
      </c>
      <c r="B202" s="11" t="s">
        <v>39</v>
      </c>
      <c r="C202" s="11" t="s">
        <v>767</v>
      </c>
      <c r="D202" s="11" t="s">
        <v>768</v>
      </c>
      <c r="E202" s="11" t="s">
        <v>769</v>
      </c>
      <c r="F202" s="14" t="s">
        <v>23</v>
      </c>
      <c r="G202" s="13" t="s">
        <v>55</v>
      </c>
      <c r="H202" s="11" t="s">
        <v>770</v>
      </c>
      <c r="I202" s="11"/>
    </row>
    <row r="203" customFormat="false" ht="23.85" hidden="false" customHeight="false" outlineLevel="0" collapsed="false">
      <c r="A203" s="11" t="n">
        <v>202</v>
      </c>
      <c r="B203" s="11" t="s">
        <v>39</v>
      </c>
      <c r="C203" s="11" t="s">
        <v>767</v>
      </c>
      <c r="D203" s="11" t="s">
        <v>771</v>
      </c>
      <c r="E203" s="11" t="s">
        <v>769</v>
      </c>
      <c r="F203" s="14" t="s">
        <v>23</v>
      </c>
      <c r="G203" s="13" t="s">
        <v>55</v>
      </c>
      <c r="H203" s="11" t="s">
        <v>772</v>
      </c>
      <c r="I203" s="11"/>
    </row>
    <row r="204" customFormat="false" ht="23.85" hidden="false" customHeight="false" outlineLevel="0" collapsed="false">
      <c r="A204" s="11" t="n">
        <v>203</v>
      </c>
      <c r="B204" s="11" t="s">
        <v>39</v>
      </c>
      <c r="C204" s="11" t="s">
        <v>767</v>
      </c>
      <c r="D204" s="11" t="s">
        <v>773</v>
      </c>
      <c r="E204" s="11" t="s">
        <v>769</v>
      </c>
      <c r="F204" s="14" t="s">
        <v>23</v>
      </c>
      <c r="G204" s="13" t="s">
        <v>55</v>
      </c>
      <c r="H204" s="11" t="s">
        <v>772</v>
      </c>
      <c r="I204" s="11"/>
    </row>
    <row r="205" customFormat="false" ht="35.05" hidden="false" customHeight="false" outlineLevel="0" collapsed="false">
      <c r="A205" s="11" t="n">
        <v>204</v>
      </c>
      <c r="B205" s="11" t="s">
        <v>39</v>
      </c>
      <c r="C205" s="11" t="s">
        <v>767</v>
      </c>
      <c r="D205" s="11" t="s">
        <v>774</v>
      </c>
      <c r="E205" s="11" t="s">
        <v>769</v>
      </c>
      <c r="F205" s="14" t="s">
        <v>23</v>
      </c>
      <c r="G205" s="13" t="s">
        <v>55</v>
      </c>
      <c r="H205" s="11" t="s">
        <v>775</v>
      </c>
      <c r="I205" s="11"/>
    </row>
    <row r="206" customFormat="false" ht="23.85" hidden="false" customHeight="false" outlineLevel="0" collapsed="false">
      <c r="A206" s="11" t="n">
        <v>205</v>
      </c>
      <c r="B206" s="11" t="s">
        <v>39</v>
      </c>
      <c r="C206" s="11" t="s">
        <v>767</v>
      </c>
      <c r="D206" s="11" t="s">
        <v>776</v>
      </c>
      <c r="E206" s="11" t="s">
        <v>769</v>
      </c>
      <c r="F206" s="14" t="s">
        <v>23</v>
      </c>
      <c r="G206" s="13" t="s">
        <v>55</v>
      </c>
      <c r="H206" s="11" t="s">
        <v>772</v>
      </c>
      <c r="I206" s="11"/>
    </row>
    <row r="207" customFormat="false" ht="46.25" hidden="false" customHeight="false" outlineLevel="0" collapsed="false">
      <c r="A207" s="11" t="n">
        <v>206</v>
      </c>
      <c r="B207" s="11" t="s">
        <v>39</v>
      </c>
      <c r="C207" s="11" t="s">
        <v>777</v>
      </c>
      <c r="D207" s="11" t="s">
        <v>778</v>
      </c>
      <c r="E207" s="11" t="s">
        <v>779</v>
      </c>
      <c r="F207" s="15" t="s">
        <v>22</v>
      </c>
      <c r="G207" s="13" t="s">
        <v>55</v>
      </c>
      <c r="H207" s="11" t="s">
        <v>780</v>
      </c>
      <c r="I207" s="11" t="s">
        <v>781</v>
      </c>
    </row>
    <row r="208" customFormat="false" ht="23.85" hidden="false" customHeight="false" outlineLevel="0" collapsed="false">
      <c r="A208" s="11" t="n">
        <v>207</v>
      </c>
      <c r="B208" s="11" t="s">
        <v>39</v>
      </c>
      <c r="C208" s="11" t="s">
        <v>777</v>
      </c>
      <c r="D208" s="11" t="s">
        <v>782</v>
      </c>
      <c r="E208" s="11" t="s">
        <v>779</v>
      </c>
      <c r="F208" s="15" t="s">
        <v>22</v>
      </c>
      <c r="G208" s="13" t="s">
        <v>55</v>
      </c>
      <c r="H208" s="11" t="s">
        <v>783</v>
      </c>
      <c r="I208" s="11" t="s">
        <v>784</v>
      </c>
    </row>
    <row r="209" customFormat="false" ht="23.85" hidden="false" customHeight="false" outlineLevel="0" collapsed="false">
      <c r="A209" s="11" t="n">
        <v>208</v>
      </c>
      <c r="B209" s="11" t="s">
        <v>39</v>
      </c>
      <c r="C209" s="11" t="s">
        <v>777</v>
      </c>
      <c r="D209" s="11" t="s">
        <v>785</v>
      </c>
      <c r="E209" s="11" t="s">
        <v>779</v>
      </c>
      <c r="F209" s="15" t="s">
        <v>22</v>
      </c>
      <c r="G209" s="13" t="s">
        <v>55</v>
      </c>
      <c r="H209" s="11" t="s">
        <v>786</v>
      </c>
      <c r="I209" s="11" t="s">
        <v>787</v>
      </c>
    </row>
    <row r="210" customFormat="false" ht="35.05" hidden="false" customHeight="false" outlineLevel="0" collapsed="false">
      <c r="A210" s="11" t="n">
        <v>209</v>
      </c>
      <c r="B210" s="11" t="s">
        <v>39</v>
      </c>
      <c r="C210" s="11" t="s">
        <v>777</v>
      </c>
      <c r="D210" s="11" t="s">
        <v>788</v>
      </c>
      <c r="E210" s="11" t="s">
        <v>779</v>
      </c>
      <c r="F210" s="15" t="s">
        <v>22</v>
      </c>
      <c r="G210" s="13" t="s">
        <v>55</v>
      </c>
      <c r="H210" s="11" t="s">
        <v>789</v>
      </c>
      <c r="I210" s="11" t="s">
        <v>790</v>
      </c>
    </row>
    <row r="211" customFormat="false" ht="57.45" hidden="false" customHeight="false" outlineLevel="0" collapsed="false">
      <c r="A211" s="11" t="n">
        <v>210</v>
      </c>
      <c r="B211" s="11" t="s">
        <v>39</v>
      </c>
      <c r="C211" s="11" t="s">
        <v>791</v>
      </c>
      <c r="D211" s="11" t="s">
        <v>792</v>
      </c>
      <c r="E211" s="11" t="s">
        <v>779</v>
      </c>
      <c r="F211" s="14" t="s">
        <v>23</v>
      </c>
      <c r="G211" s="13" t="s">
        <v>55</v>
      </c>
      <c r="H211" s="11" t="s">
        <v>793</v>
      </c>
      <c r="I211" s="11" t="s">
        <v>794</v>
      </c>
    </row>
    <row r="212" customFormat="false" ht="35.05" hidden="false" customHeight="false" outlineLevel="0" collapsed="false">
      <c r="A212" s="11" t="n">
        <v>211</v>
      </c>
      <c r="B212" s="11" t="s">
        <v>40</v>
      </c>
      <c r="C212" s="11" t="s">
        <v>795</v>
      </c>
      <c r="D212" s="11" t="s">
        <v>796</v>
      </c>
      <c r="E212" s="11" t="s">
        <v>797</v>
      </c>
      <c r="F212" s="16" t="s">
        <v>176</v>
      </c>
      <c r="G212" s="13" t="s">
        <v>55</v>
      </c>
      <c r="H212" s="11" t="s">
        <v>798</v>
      </c>
      <c r="I212" s="11" t="s">
        <v>799</v>
      </c>
    </row>
    <row r="213" customFormat="false" ht="15" hidden="false" customHeight="false" outlineLevel="0" collapsed="false">
      <c r="A213" s="11" t="n">
        <v>212</v>
      </c>
      <c r="B213" s="11" t="s">
        <v>40</v>
      </c>
      <c r="C213" s="11" t="s">
        <v>800</v>
      </c>
      <c r="D213" s="11" t="s">
        <v>801</v>
      </c>
      <c r="E213" s="11" t="s">
        <v>802</v>
      </c>
      <c r="F213" s="16" t="s">
        <v>176</v>
      </c>
      <c r="G213" s="13" t="s">
        <v>55</v>
      </c>
      <c r="H213" s="11" t="s">
        <v>803</v>
      </c>
      <c r="I213" s="11"/>
    </row>
    <row r="214" customFormat="false" ht="15" hidden="false" customHeight="false" outlineLevel="0" collapsed="false">
      <c r="A214" s="11" t="n">
        <v>213</v>
      </c>
      <c r="B214" s="11" t="s">
        <v>40</v>
      </c>
      <c r="C214" s="11" t="s">
        <v>804</v>
      </c>
      <c r="D214" s="11" t="s">
        <v>805</v>
      </c>
      <c r="E214" s="11" t="s">
        <v>806</v>
      </c>
      <c r="F214" s="16" t="s">
        <v>176</v>
      </c>
      <c r="G214" s="13" t="s">
        <v>55</v>
      </c>
      <c r="H214" s="11" t="s">
        <v>803</v>
      </c>
      <c r="I214" s="11"/>
    </row>
    <row r="215" customFormat="false" ht="35.05" hidden="false" customHeight="false" outlineLevel="0" collapsed="false">
      <c r="A215" s="11" t="n">
        <v>214</v>
      </c>
      <c r="B215" s="11" t="s">
        <v>40</v>
      </c>
      <c r="C215" s="11" t="s">
        <v>807</v>
      </c>
      <c r="D215" s="11" t="s">
        <v>808</v>
      </c>
      <c r="E215" s="11" t="s">
        <v>809</v>
      </c>
      <c r="F215" s="16" t="s">
        <v>176</v>
      </c>
      <c r="G215" s="13" t="s">
        <v>55</v>
      </c>
      <c r="H215" s="11" t="s">
        <v>810</v>
      </c>
      <c r="I215" s="11"/>
    </row>
    <row r="216" customFormat="false" ht="23.85" hidden="false" customHeight="false" outlineLevel="0" collapsed="false">
      <c r="A216" s="11" t="n">
        <v>215</v>
      </c>
      <c r="B216" s="11" t="s">
        <v>40</v>
      </c>
      <c r="C216" s="11" t="s">
        <v>811</v>
      </c>
      <c r="D216" s="11" t="s">
        <v>812</v>
      </c>
      <c r="E216" s="11" t="s">
        <v>813</v>
      </c>
      <c r="F216" s="14" t="s">
        <v>23</v>
      </c>
      <c r="G216" s="13" t="s">
        <v>55</v>
      </c>
      <c r="H216" s="11" t="s">
        <v>814</v>
      </c>
      <c r="I216" s="11" t="s">
        <v>815</v>
      </c>
    </row>
    <row r="217" customFormat="false" ht="46.25" hidden="false" customHeight="false" outlineLevel="0" collapsed="false">
      <c r="A217" s="11" t="n">
        <v>216</v>
      </c>
      <c r="B217" s="11" t="s">
        <v>40</v>
      </c>
      <c r="C217" s="11" t="s">
        <v>816</v>
      </c>
      <c r="D217" s="11" t="s">
        <v>817</v>
      </c>
      <c r="E217" s="11" t="s">
        <v>818</v>
      </c>
      <c r="F217" s="12" t="s">
        <v>819</v>
      </c>
      <c r="G217" s="13" t="s">
        <v>55</v>
      </c>
      <c r="H217" s="11" t="s">
        <v>820</v>
      </c>
      <c r="I217" s="11" t="s">
        <v>821</v>
      </c>
    </row>
    <row r="218" customFormat="false" ht="35.05" hidden="false" customHeight="false" outlineLevel="0" collapsed="false">
      <c r="A218" s="11" t="n">
        <v>217</v>
      </c>
      <c r="B218" s="11" t="s">
        <v>40</v>
      </c>
      <c r="C218" s="11" t="s">
        <v>822</v>
      </c>
      <c r="D218" s="11" t="s">
        <v>823</v>
      </c>
      <c r="E218" s="11" t="s">
        <v>824</v>
      </c>
      <c r="F218" s="16" t="s">
        <v>176</v>
      </c>
      <c r="G218" s="13" t="s">
        <v>55</v>
      </c>
      <c r="H218" s="11" t="s">
        <v>825</v>
      </c>
      <c r="I218" s="11"/>
    </row>
  </sheetData>
  <autoFilter ref="A1:I218"/>
  <dataValidations count="2">
    <dataValidation allowBlank="true" errorStyle="stop" operator="between" showDropDown="false" showErrorMessage="false" showInputMessage="false" sqref="F2:F218" type="list">
      <formula1>"Built,Partially Built,Built (config only,not consumed),Built (manual),Built (informational),Not Built,N/A (excluded by design),Unclear / Needs BA Confirmation"</formula1>
      <formula2>0</formula2>
    </dataValidation>
    <dataValidation allowBlank="true" errorStyle="stop" operator="between" showDropDown="false" showErrorMessage="false" showInputMessage="false" sqref="G2:G218"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55"/>
    <col collapsed="false" customWidth="true" hidden="false" outlineLevel="0" max="4" min="4" style="0" width="14"/>
    <col collapsed="false" customWidth="true" hidden="false" outlineLevel="0" max="5" min="5" style="0" width="42"/>
    <col collapsed="false" customWidth="true" hidden="false" outlineLevel="0" max="6" min="6" style="0" width="50"/>
    <col collapsed="false" customWidth="true" hidden="false" outlineLevel="0" max="7" min="7" style="0" width="11"/>
  </cols>
  <sheetData>
    <row r="1" customFormat="false" ht="30" hidden="false" customHeight="true" outlineLevel="0" collapsed="false">
      <c r="A1" s="6" t="s">
        <v>44</v>
      </c>
      <c r="B1" s="6" t="s">
        <v>20</v>
      </c>
      <c r="C1" s="6" t="s">
        <v>826</v>
      </c>
      <c r="D1" s="6" t="s">
        <v>827</v>
      </c>
      <c r="E1" s="6" t="s">
        <v>828</v>
      </c>
      <c r="F1" s="6" t="s">
        <v>829</v>
      </c>
      <c r="G1" s="6" t="s">
        <v>830</v>
      </c>
    </row>
    <row r="2" customFormat="false" ht="15" hidden="false" customHeight="false" outlineLevel="0" collapsed="false">
      <c r="A2" s="18" t="s">
        <v>831</v>
      </c>
      <c r="B2" s="18"/>
      <c r="C2" s="18"/>
      <c r="D2" s="18"/>
      <c r="E2" s="18"/>
      <c r="F2" s="18"/>
      <c r="G2" s="18"/>
    </row>
    <row r="3" customFormat="false" ht="23.85" hidden="false" customHeight="false" outlineLevel="0" collapsed="false">
      <c r="A3" s="11" t="n">
        <v>1</v>
      </c>
      <c r="B3" s="11" t="s">
        <v>832</v>
      </c>
      <c r="C3" s="11" t="s">
        <v>833</v>
      </c>
      <c r="D3" s="11" t="s">
        <v>834</v>
      </c>
      <c r="E3" s="11" t="s">
        <v>835</v>
      </c>
      <c r="F3" s="11" t="s">
        <v>836</v>
      </c>
      <c r="G3" s="13" t="s">
        <v>55</v>
      </c>
    </row>
    <row r="4" customFormat="false" ht="23.85" hidden="false" customHeight="false" outlineLevel="0" collapsed="false">
      <c r="A4" s="11" t="n">
        <v>2</v>
      </c>
      <c r="B4" s="11" t="s">
        <v>837</v>
      </c>
      <c r="C4" s="11" t="s">
        <v>838</v>
      </c>
      <c r="D4" s="11" t="s">
        <v>839</v>
      </c>
      <c r="E4" s="11" t="s">
        <v>840</v>
      </c>
      <c r="F4" s="11" t="s">
        <v>841</v>
      </c>
      <c r="G4" s="13" t="s">
        <v>55</v>
      </c>
    </row>
    <row r="5" customFormat="false" ht="23.85" hidden="false" customHeight="false" outlineLevel="0" collapsed="false">
      <c r="A5" s="11" t="n">
        <v>3</v>
      </c>
      <c r="B5" s="11" t="s">
        <v>842</v>
      </c>
      <c r="C5" s="11" t="s">
        <v>843</v>
      </c>
      <c r="D5" s="11" t="s">
        <v>844</v>
      </c>
      <c r="E5" s="11" t="s">
        <v>835</v>
      </c>
      <c r="F5" s="11" t="s">
        <v>845</v>
      </c>
      <c r="G5" s="13" t="s">
        <v>55</v>
      </c>
    </row>
    <row r="6" customFormat="false" ht="23.85" hidden="false" customHeight="false" outlineLevel="0" collapsed="false">
      <c r="A6" s="11" t="n">
        <v>4</v>
      </c>
      <c r="B6" s="11" t="s">
        <v>842</v>
      </c>
      <c r="C6" s="11" t="s">
        <v>846</v>
      </c>
      <c r="D6" s="11" t="s">
        <v>844</v>
      </c>
      <c r="E6" s="11" t="s">
        <v>835</v>
      </c>
      <c r="F6" s="11" t="s">
        <v>847</v>
      </c>
      <c r="G6" s="13" t="s">
        <v>55</v>
      </c>
    </row>
    <row r="7" customFormat="false" ht="23.85" hidden="false" customHeight="false" outlineLevel="0" collapsed="false">
      <c r="A7" s="11" t="n">
        <v>5</v>
      </c>
      <c r="B7" s="11" t="s">
        <v>842</v>
      </c>
      <c r="C7" s="11" t="s">
        <v>848</v>
      </c>
      <c r="D7" s="11" t="s">
        <v>849</v>
      </c>
      <c r="E7" s="11" t="s">
        <v>850</v>
      </c>
      <c r="F7" s="11" t="s">
        <v>851</v>
      </c>
      <c r="G7" s="13" t="s">
        <v>55</v>
      </c>
    </row>
    <row r="8" customFormat="false" ht="46.25" hidden="false" customHeight="false" outlineLevel="0" collapsed="false">
      <c r="A8" s="11" t="n">
        <v>6</v>
      </c>
      <c r="B8" s="11" t="s">
        <v>852</v>
      </c>
      <c r="C8" s="11" t="s">
        <v>853</v>
      </c>
      <c r="D8" s="11" t="s">
        <v>854</v>
      </c>
      <c r="E8" s="11" t="s">
        <v>855</v>
      </c>
      <c r="F8" s="11" t="s">
        <v>856</v>
      </c>
      <c r="G8" s="13" t="s">
        <v>55</v>
      </c>
    </row>
    <row r="10" customFormat="false" ht="15" hidden="false" customHeight="false" outlineLevel="0" collapsed="false">
      <c r="A10" s="18" t="s">
        <v>857</v>
      </c>
      <c r="B10" s="18"/>
      <c r="C10" s="18"/>
      <c r="D10" s="18"/>
      <c r="E10" s="18"/>
      <c r="F10" s="18"/>
      <c r="G10" s="18"/>
    </row>
    <row r="11" customFormat="false" ht="35.05" hidden="false" customHeight="false" outlineLevel="0" collapsed="false">
      <c r="A11" s="11" t="n">
        <v>7</v>
      </c>
      <c r="B11" s="11" t="s">
        <v>858</v>
      </c>
      <c r="C11" s="11" t="s">
        <v>859</v>
      </c>
      <c r="D11" s="11" t="s">
        <v>195</v>
      </c>
      <c r="E11" s="11" t="s">
        <v>860</v>
      </c>
      <c r="F11" s="11" t="s">
        <v>861</v>
      </c>
      <c r="G11" s="13" t="s">
        <v>55</v>
      </c>
    </row>
    <row r="12" customFormat="false" ht="35.05" hidden="false" customHeight="false" outlineLevel="0" collapsed="false">
      <c r="A12" s="11" t="n">
        <v>8</v>
      </c>
      <c r="B12" s="11" t="s">
        <v>862</v>
      </c>
      <c r="C12" s="11" t="s">
        <v>863</v>
      </c>
      <c r="D12" s="11" t="s">
        <v>864</v>
      </c>
      <c r="E12" s="11" t="s">
        <v>865</v>
      </c>
      <c r="F12" s="11" t="s">
        <v>866</v>
      </c>
      <c r="G12" s="13" t="s">
        <v>55</v>
      </c>
    </row>
    <row r="13" customFormat="false" ht="35.05" hidden="false" customHeight="false" outlineLevel="0" collapsed="false">
      <c r="A13" s="11" t="n">
        <v>9</v>
      </c>
      <c r="B13" s="11" t="s">
        <v>867</v>
      </c>
      <c r="C13" s="11" t="s">
        <v>868</v>
      </c>
      <c r="D13" s="11" t="s">
        <v>369</v>
      </c>
      <c r="E13" s="11" t="s">
        <v>869</v>
      </c>
      <c r="F13" s="11" t="s">
        <v>870</v>
      </c>
      <c r="G13" s="13" t="s">
        <v>55</v>
      </c>
    </row>
    <row r="14" customFormat="false" ht="57.45" hidden="false" customHeight="false" outlineLevel="0" collapsed="false">
      <c r="A14" s="11" t="n">
        <v>10</v>
      </c>
      <c r="B14" s="11" t="s">
        <v>871</v>
      </c>
      <c r="C14" s="11" t="s">
        <v>872</v>
      </c>
      <c r="D14" s="11" t="s">
        <v>873</v>
      </c>
      <c r="E14" s="11" t="s">
        <v>874</v>
      </c>
      <c r="F14" s="11" t="s">
        <v>875</v>
      </c>
      <c r="G14" s="13" t="s">
        <v>55</v>
      </c>
    </row>
    <row r="15" customFormat="false" ht="46.25" hidden="false" customHeight="false" outlineLevel="0" collapsed="false">
      <c r="A15" s="11" t="n">
        <v>11</v>
      </c>
      <c r="B15" s="11" t="s">
        <v>842</v>
      </c>
      <c r="C15" s="11" t="s">
        <v>876</v>
      </c>
      <c r="D15" s="11" t="s">
        <v>877</v>
      </c>
      <c r="E15" s="11" t="s">
        <v>878</v>
      </c>
      <c r="F15" s="11" t="s">
        <v>879</v>
      </c>
      <c r="G15" s="13" t="s">
        <v>55</v>
      </c>
    </row>
    <row r="16" customFormat="false" ht="35.05" hidden="false" customHeight="false" outlineLevel="0" collapsed="false">
      <c r="A16" s="11" t="n">
        <v>12</v>
      </c>
      <c r="B16" s="11" t="s">
        <v>880</v>
      </c>
      <c r="C16" s="11" t="s">
        <v>881</v>
      </c>
      <c r="D16" s="11" t="s">
        <v>882</v>
      </c>
      <c r="E16" s="11" t="s">
        <v>883</v>
      </c>
      <c r="F16" s="11" t="s">
        <v>884</v>
      </c>
      <c r="G16" s="13" t="s">
        <v>55</v>
      </c>
    </row>
    <row r="17" customFormat="false" ht="35.05" hidden="false" customHeight="false" outlineLevel="0" collapsed="false">
      <c r="A17" s="11" t="n">
        <v>13</v>
      </c>
      <c r="B17" s="11" t="s">
        <v>885</v>
      </c>
      <c r="C17" s="11" t="s">
        <v>886</v>
      </c>
      <c r="D17" s="11" t="s">
        <v>887</v>
      </c>
      <c r="E17" s="11" t="s">
        <v>883</v>
      </c>
      <c r="F17" s="11" t="s">
        <v>888</v>
      </c>
      <c r="G17" s="13" t="s">
        <v>55</v>
      </c>
    </row>
    <row r="18" customFormat="false" ht="46.25" hidden="false" customHeight="false" outlineLevel="0" collapsed="false">
      <c r="A18" s="11" t="n">
        <v>14</v>
      </c>
      <c r="B18" s="11" t="s">
        <v>889</v>
      </c>
      <c r="C18" s="11" t="s">
        <v>890</v>
      </c>
      <c r="D18" s="11" t="s">
        <v>64</v>
      </c>
      <c r="E18" s="11" t="s">
        <v>891</v>
      </c>
      <c r="F18" s="11" t="s">
        <v>892</v>
      </c>
      <c r="G18" s="13" t="s">
        <v>55</v>
      </c>
    </row>
    <row r="19" customFormat="false" ht="46.25" hidden="false" customHeight="false" outlineLevel="0" collapsed="false">
      <c r="A19" s="11" t="n">
        <v>15</v>
      </c>
      <c r="B19" s="11" t="s">
        <v>893</v>
      </c>
      <c r="C19" s="11" t="s">
        <v>894</v>
      </c>
      <c r="D19" s="11" t="s">
        <v>93</v>
      </c>
      <c r="E19" s="11" t="s">
        <v>895</v>
      </c>
      <c r="F19" s="11" t="s">
        <v>896</v>
      </c>
      <c r="G19" s="13" t="s">
        <v>55</v>
      </c>
    </row>
    <row r="20" customFormat="false" ht="46.25" hidden="false" customHeight="false" outlineLevel="0" collapsed="false">
      <c r="A20" s="11" t="n">
        <v>16</v>
      </c>
      <c r="B20" s="11" t="s">
        <v>858</v>
      </c>
      <c r="C20" s="11" t="s">
        <v>897</v>
      </c>
      <c r="D20" s="11" t="s">
        <v>898</v>
      </c>
      <c r="E20" s="11" t="s">
        <v>899</v>
      </c>
      <c r="F20" s="11" t="s">
        <v>900</v>
      </c>
      <c r="G20" s="13" t="s">
        <v>55</v>
      </c>
    </row>
    <row r="21" customFormat="false" ht="46.25" hidden="false" customHeight="false" outlineLevel="0" collapsed="false">
      <c r="A21" s="11" t="n">
        <v>17</v>
      </c>
      <c r="B21" s="11" t="s">
        <v>901</v>
      </c>
      <c r="C21" s="11" t="s">
        <v>902</v>
      </c>
      <c r="D21" s="11" t="s">
        <v>151</v>
      </c>
      <c r="E21" s="11" t="s">
        <v>903</v>
      </c>
      <c r="F21" s="11" t="s">
        <v>904</v>
      </c>
      <c r="G21" s="13" t="s">
        <v>55</v>
      </c>
    </row>
    <row r="22" customFormat="false" ht="35.05" hidden="false" customHeight="false" outlineLevel="0" collapsed="false">
      <c r="A22" s="11" t="n">
        <v>18</v>
      </c>
      <c r="B22" s="11" t="s">
        <v>905</v>
      </c>
      <c r="C22" s="11" t="s">
        <v>906</v>
      </c>
      <c r="D22" s="11" t="s">
        <v>140</v>
      </c>
      <c r="E22" s="11" t="s">
        <v>907</v>
      </c>
      <c r="F22" s="11" t="s">
        <v>908</v>
      </c>
      <c r="G22" s="13" t="s">
        <v>55</v>
      </c>
    </row>
    <row r="23" customFormat="false" ht="46.25" hidden="false" customHeight="false" outlineLevel="0" collapsed="false">
      <c r="A23" s="11" t="n">
        <v>19</v>
      </c>
      <c r="B23" s="11" t="s">
        <v>909</v>
      </c>
      <c r="C23" s="11" t="s">
        <v>910</v>
      </c>
      <c r="D23" s="11" t="s">
        <v>911</v>
      </c>
      <c r="E23" s="11" t="s">
        <v>912</v>
      </c>
      <c r="F23" s="11" t="s">
        <v>913</v>
      </c>
      <c r="G23" s="13" t="s">
        <v>55</v>
      </c>
    </row>
  </sheetData>
  <mergeCells count="2">
    <mergeCell ref="A2:G2"/>
    <mergeCell ref="A10:G10"/>
  </mergeCells>
  <dataValidations count="1">
    <dataValidation allowBlank="true" errorStyle="stop" operator="between" showDropDown="false" showErrorMessage="false" showInputMessage="false" sqref="G3:G8 G11:G2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2026-07-16T15:59:04Z</dcterms:created>
  <dc:creator>openpyxl</dc:creator>
  <dc:description/>
  <dc:language>en-US</dc:language>
  <cp:lastModifiedBy/>
  <dcterms:modified xsi:type="dcterms:W3CDTF">2026-07-16T15:59:04Z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